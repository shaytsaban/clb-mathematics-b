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Mathematics B/"/>
    </mc:Choice>
  </mc:AlternateContent>
  <xr:revisionPtr revIDLastSave="279" documentId="8_{1998C065-CD4F-6146-BA64-C8DF0776EB8C}" xr6:coauthVersionLast="47" xr6:coauthVersionMax="47" xr10:uidLastSave="{4AFF7846-6A88-5342-A24C-6812B7C1862E}"/>
  <bookViews>
    <workbookView xWindow="0" yWindow="600" windowWidth="51200" windowHeight="31400" activeTab="1" xr2:uid="{046EC7E4-149B-9F4C-BD34-34B8F3E3A3FF}"/>
  </bookViews>
  <sheets>
    <sheet name="פרק 3.3 פתרון שאלה 2" sheetId="1" r:id="rId1"/>
    <sheet name="פרק 3.3 פתרון שאלה 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4" i="2" l="1"/>
  <c r="M69" i="2"/>
  <c r="F77" i="2"/>
  <c r="C69" i="2"/>
  <c r="D81" i="2"/>
  <c r="A80" i="2"/>
  <c r="A28" i="1"/>
</calcChain>
</file>

<file path=xl/sharedStrings.xml><?xml version="1.0" encoding="utf-8"?>
<sst xmlns="http://schemas.openxmlformats.org/spreadsheetml/2006/main" count="142" uniqueCount="102">
  <si>
    <t>עם ייעוץ</t>
  </si>
  <si>
    <t>ללא ייעוץ</t>
  </si>
  <si>
    <t>חיובית</t>
  </si>
  <si>
    <t>שלילית</t>
  </si>
  <si>
    <t>לבצע</t>
  </si>
  <si>
    <t>לדחות</t>
  </si>
  <si>
    <t>הצלחה</t>
  </si>
  <si>
    <t>כשלון</t>
  </si>
  <si>
    <t xml:space="preserve">במצב שבו יש הצלחה, החברה מרוויחה 5 (הכנסות) פחות השקעה (2) פחות עלות יועץ 0.6 (אם הבאנו יועץ). </t>
  </si>
  <si>
    <t>5 - 2 - 0.6 = 2.4</t>
  </si>
  <si>
    <t>במצב שבו יש כשלון, החברה מפסידה: 0 הכנסות פחות השקעה (2) פחות עלות יועץ 0.6 (אם הבאנו יועץ):</t>
  </si>
  <si>
    <t>הסבר לתוצאות במצב של ביצוע - עם יועץ:</t>
  </si>
  <si>
    <t>0 - 2 - 0.6 = -2.6</t>
  </si>
  <si>
    <t>במצב עם יועץ ללא ביצוע - מפסידים רק את עלות היועץ:</t>
  </si>
  <si>
    <t>במצב ללא יועץ וללא ביצוע - אין הכנסות כלל, אין הוצאות כלל:</t>
  </si>
  <si>
    <t>במצב ללא יועץ, עם ביצוע:</t>
  </si>
  <si>
    <t>במידה ונכשלנו - ההכנסות 0, העלויות הן רק השקעה 2 מיליון, ההפסד:</t>
  </si>
  <si>
    <t>0 - 2 = -2</t>
  </si>
  <si>
    <t>במידה והצלחנו - ההכנסות 5, העלויות הן רק השקעה 2 מיליון, הרווח:</t>
  </si>
  <si>
    <t>5 - 2 = 3</t>
  </si>
  <si>
    <r>
      <t xml:space="preserve">לדחות: </t>
    </r>
    <r>
      <rPr>
        <b/>
        <sz val="12"/>
        <color theme="1"/>
        <rFont val="David"/>
      </rPr>
      <t>ערך 0.6-</t>
    </r>
  </si>
  <si>
    <t>ערך: 1.1-</t>
  </si>
  <si>
    <t xml:space="preserve"> ערך: 1.4</t>
  </si>
  <si>
    <t xml:space="preserve"> ערך 1.4</t>
  </si>
  <si>
    <t>ערך 0.6-</t>
  </si>
  <si>
    <t>ערך:</t>
  </si>
  <si>
    <t>ערך: 1</t>
  </si>
  <si>
    <t>ערך</t>
  </si>
  <si>
    <t>ערך: 1.5</t>
  </si>
  <si>
    <r>
      <t xml:space="preserve">לדחות: </t>
    </r>
    <r>
      <rPr>
        <b/>
        <sz val="12"/>
        <color theme="1"/>
        <rFont val="David"/>
      </rPr>
      <t>ערך 0</t>
    </r>
  </si>
  <si>
    <r>
      <t xml:space="preserve">לבצע: </t>
    </r>
    <r>
      <rPr>
        <b/>
        <sz val="12"/>
        <color theme="1"/>
        <rFont val="David"/>
      </rPr>
      <t>ערך 1.5</t>
    </r>
  </si>
  <si>
    <r>
      <t xml:space="preserve">      </t>
    </r>
    <r>
      <rPr>
        <b/>
        <sz val="12"/>
        <color theme="1"/>
        <rFont val="David"/>
      </rPr>
      <t xml:space="preserve"> עדיף שלא להיעזר ביועץ, תוחלת ערך 1.5</t>
    </r>
  </si>
  <si>
    <t>שאלת ייבוא רכבים חשמליים (שאלה 2 בקובץ השאלות המסכמות</t>
  </si>
  <si>
    <t>בתת פרק 3.3)</t>
  </si>
  <si>
    <t>הפתרון לסעיפים א+ב:</t>
  </si>
  <si>
    <t xml:space="preserve">זה שמוביל לערך הגבוה ביותר - </t>
  </si>
  <si>
    <t>במקרה זה, ללא ייעוץ, ולבצע.</t>
  </si>
  <si>
    <t>סעיף ג:</t>
  </si>
  <si>
    <r>
      <t>העץ (</t>
    </r>
    <r>
      <rPr>
        <b/>
        <sz val="12"/>
        <color theme="1"/>
        <rFont val="David"/>
      </rPr>
      <t>סעיף א</t>
    </r>
    <r>
      <rPr>
        <sz val="12"/>
        <color theme="1"/>
        <rFont val="David"/>
      </rPr>
      <t>) - להלן:</t>
    </r>
  </si>
  <si>
    <r>
      <t>הפתרון האופטימלי (</t>
    </r>
    <r>
      <rPr>
        <b/>
        <sz val="12"/>
        <color theme="1"/>
        <rFont val="David"/>
      </rPr>
      <t>סעיף ב</t>
    </r>
    <r>
      <rPr>
        <sz val="12"/>
        <color theme="1"/>
        <rFont val="David"/>
      </rPr>
      <t>):</t>
    </r>
  </si>
  <si>
    <t>כדי לבדוק מה המקסימום</t>
  </si>
  <si>
    <t>שכדאי לשלם ליועץ נניח</t>
  </si>
  <si>
    <t>שהייעוץ חינם (הרווח גדל</t>
  </si>
  <si>
    <t>ב-0.6, והערך גדל ל-1.6)</t>
  </si>
  <si>
    <t>ואת זה נשווה לערך ללא יועץ</t>
  </si>
  <si>
    <t>שהוא 1.5. קרי ערך ייעוץ 0.1.</t>
  </si>
  <si>
    <t>שאלה 3 בתת פרק 3.3 - עצי החלטה - פיתוח אפליקציה</t>
  </si>
  <si>
    <t>גם בשאלה זו, בדמיון רב לקודמותיה, עלינו כמקבלי החלטה לקבל 2 החלטות בזו אחר זו:</t>
  </si>
  <si>
    <t>ההחלטה הראשונה - האם להיעזר בייעוץ (חברת מחקר) או לא.</t>
  </si>
  <si>
    <t xml:space="preserve">ההחלטה השניה - האם לבצע את הפרויקט או לא. </t>
  </si>
  <si>
    <t xml:space="preserve">נשים לב: המטרה של היועץ, זה שהוא יעזור לנו בהחלטה אם לבצע או לא. </t>
  </si>
  <si>
    <t xml:space="preserve">לכן, ההחלטה אם להביא את היועץ או לא - חייבת להיות ראשונה, לפני ההחלטה אם לבצע או לא. </t>
  </si>
  <si>
    <t>יועץ</t>
  </si>
  <si>
    <t>ללא יועץ</t>
  </si>
  <si>
    <t>ננתח לשם פשטות את האפשרות הקלה קודם: לא להביא יועץ (חץ אדום). אם לא מביאים יועץ, עדיין יש לנו שתי</t>
  </si>
  <si>
    <t>אפשרויות - שהן לגמרי החלטה שלנו - לבצע או לא לדחות.</t>
  </si>
  <si>
    <t xml:space="preserve">במצב הצלחה, ההכנסה 7, ההשקעה 3, והרווח 4. </t>
  </si>
  <si>
    <t xml:space="preserve">במצב כשלון, ההכנסה 0, אבל עדיין משלמים על ההשקעה 3. לכן ההפסד 3. </t>
  </si>
  <si>
    <r>
      <t xml:space="preserve">אם פועלים </t>
    </r>
    <r>
      <rPr>
        <u/>
        <sz val="12"/>
        <color theme="1"/>
        <rFont val="David"/>
      </rPr>
      <t>ללא יועץ</t>
    </r>
    <r>
      <rPr>
        <sz val="12"/>
        <color theme="1"/>
        <rFont val="David"/>
      </rPr>
      <t xml:space="preserve"> ובוחרים לבצע - התוצאה יכולה להיות אחת משתיים: </t>
    </r>
    <r>
      <rPr>
        <b/>
        <sz val="12"/>
        <color theme="1"/>
        <rFont val="David"/>
      </rPr>
      <t xml:space="preserve">הצלחה (בסיכוי </t>
    </r>
    <r>
      <rPr>
        <b/>
        <sz val="12"/>
        <color rgb="FFFF0000"/>
        <rFont val="David"/>
      </rPr>
      <t>0.4</t>
    </r>
    <r>
      <rPr>
        <b/>
        <sz val="12"/>
        <color theme="1"/>
        <rFont val="David"/>
      </rPr>
      <t>)</t>
    </r>
    <r>
      <rPr>
        <sz val="12"/>
        <color theme="1"/>
        <rFont val="David"/>
      </rPr>
      <t xml:space="preserve"> או </t>
    </r>
    <r>
      <rPr>
        <b/>
        <sz val="12"/>
        <color theme="1"/>
        <rFont val="David"/>
      </rPr>
      <t xml:space="preserve">כשלון (בסיכוי </t>
    </r>
    <r>
      <rPr>
        <b/>
        <sz val="12"/>
        <color rgb="FFFF0000"/>
        <rFont val="David"/>
      </rPr>
      <t>0.6</t>
    </r>
    <r>
      <rPr>
        <b/>
        <sz val="12"/>
        <color theme="1"/>
        <rFont val="David"/>
      </rPr>
      <t>)</t>
    </r>
  </si>
  <si>
    <r>
      <t xml:space="preserve">אם פועלים </t>
    </r>
    <r>
      <rPr>
        <u/>
        <sz val="12"/>
        <color theme="1"/>
        <rFont val="David"/>
      </rPr>
      <t>ללא יועץ</t>
    </r>
    <r>
      <rPr>
        <sz val="12"/>
        <color theme="1"/>
        <rFont val="David"/>
      </rPr>
      <t xml:space="preserve"> ובוחרים לדחות - אין הכנסות, ואין הוצאות. התוצאה 0 בוודאות.</t>
    </r>
  </si>
  <si>
    <r>
      <t xml:space="preserve">אם פועלים </t>
    </r>
    <r>
      <rPr>
        <u/>
        <sz val="12"/>
        <color theme="1"/>
        <rFont val="David"/>
      </rPr>
      <t>עם יועץ</t>
    </r>
    <r>
      <rPr>
        <sz val="12"/>
        <color theme="1"/>
        <rFont val="David"/>
      </rPr>
      <t>:</t>
    </r>
  </si>
  <si>
    <r>
      <t>התוצאה המיידית היא סוג ההמלצה: היועץ יביא לידיעתנו המלצה חיובית (</t>
    </r>
    <r>
      <rPr>
        <sz val="12"/>
        <color rgb="FF00B050"/>
        <rFont val="David"/>
      </rPr>
      <t>0.4</t>
    </r>
    <r>
      <rPr>
        <sz val="12"/>
        <color theme="1"/>
        <rFont val="David"/>
      </rPr>
      <t>) או שלילית (</t>
    </r>
    <r>
      <rPr>
        <sz val="12"/>
        <color rgb="FF00B050"/>
        <rFont val="David"/>
      </rPr>
      <t>0.6</t>
    </r>
    <r>
      <rPr>
        <sz val="12"/>
        <color theme="1"/>
        <rFont val="David"/>
      </rPr>
      <t>).</t>
    </r>
  </si>
  <si>
    <t>לאחר מכן, צריך להחליט:</t>
  </si>
  <si>
    <t>כלומר, גם מההמלצה החיובית יצאו שני ענפים: לבצע / לדחות.</t>
  </si>
  <si>
    <t>האם לבצע או לדחות.</t>
  </si>
  <si>
    <t>גם מההמלצה השלילית יצאו שני ענפים: לבצע / לדחות.</t>
  </si>
  <si>
    <t>אם אחליט לבצע:</t>
  </si>
  <si>
    <t xml:space="preserve">אם אחליט לבצע - </t>
  </si>
  <si>
    <t>אם לא אבצע - אפסיד יועץ 0.25-</t>
  </si>
  <si>
    <t xml:space="preserve">כשלון </t>
  </si>
  <si>
    <t>אצליח בסיכוי 0.85: רווח 3.75 (4 רווח פחות ייעוץ 0.25)</t>
  </si>
  <si>
    <t>אצליח בסיכוי 0.1: רווח 3.75 (4 רווח פחות ייעוץ 0.25)</t>
  </si>
  <si>
    <t>אכשל בסיכוי 0.15: הפסד 3.25 (עלות השקעה 3 ויועץ 0.25)</t>
  </si>
  <si>
    <t>אכשל בסיכוי 0.9: הפסד 3.25 (עלות השקעה 3 ויועץ 0.25)</t>
  </si>
  <si>
    <t>עץ ההחלטה:</t>
  </si>
  <si>
    <t>לשם מדיניות אופטימלית</t>
  </si>
  <si>
    <t>יש להוסיף לעץ ההחלטה</t>
  </si>
  <si>
    <t>חישובי תוחלות:</t>
  </si>
  <si>
    <t>ערך: 2.7</t>
  </si>
  <si>
    <t>ערך 0.25-</t>
  </si>
  <si>
    <t>ערך 0</t>
  </si>
  <si>
    <t>המדיניות האופטימלית:</t>
  </si>
  <si>
    <t>כן להביא יועץ (ערך גבוה יותר)</t>
  </si>
  <si>
    <t>ולפעול לפי המלצתו:</t>
  </si>
  <si>
    <t>אם ממליץ לבצע - נבצע.</t>
  </si>
  <si>
    <t>אם לא ממליץ - נדחה.</t>
  </si>
  <si>
    <t>סעיף ג: כמה כדאי לשלם במקסימום ליועץ?</t>
  </si>
  <si>
    <t>נתחיל מלבדוק מה הערך הקיים עם הייעוץ:</t>
  </si>
  <si>
    <t xml:space="preserve">נניח שהייעוץ היה בחינם - היינו חוסכים: 0.25 (עלות הייעוץ). </t>
  </si>
  <si>
    <t>במצב כזה, הערך עם הייעוץ:</t>
  </si>
  <si>
    <t xml:space="preserve">0.93 + 0.25 = </t>
  </si>
  <si>
    <t>הסכום המירבי שנסכים לשלם בעד הייעוץ הוא ההפרש:</t>
  </si>
  <si>
    <t xml:space="preserve">בין הערך עם הייעוץ בהנחה שהוא ״בחינם״: </t>
  </si>
  <si>
    <t>לבין הערך ללא ייעוץ בכלל:</t>
  </si>
  <si>
    <t>הסכום המירבי שנסכים לשלם ליועץ:</t>
  </si>
  <si>
    <t xml:space="preserve">1.18 - 0 = </t>
  </si>
  <si>
    <t>התשובה</t>
  </si>
  <si>
    <t>הערה:</t>
  </si>
  <si>
    <t xml:space="preserve">עלות הייעוץ כאן בפועל היא 0.25; נמוכה מ-1.18. </t>
  </si>
  <si>
    <t>אבל השאלה לא שאלה על העלות בפועל - אלא על העלות המקסימלית שנסכים לשלם.</t>
  </si>
  <si>
    <t>בעצם, מה שאנחנו אומרים זה - כמובן שעלות 0.25 היא משתלמת - ראינו את זה בעץ;</t>
  </si>
  <si>
    <t>אבל גם אם ייקרו את עלות הייעוץ, כל עוד היא לא תעלה על 1.18 - הייעוץ משתלם.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</si>
</sst>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David"/>
    </font>
    <font>
      <b/>
      <sz val="12"/>
      <color theme="1"/>
      <name val="David"/>
    </font>
    <font>
      <u/>
      <sz val="12"/>
      <color theme="1"/>
      <name val="David"/>
    </font>
    <font>
      <b/>
      <sz val="12"/>
      <color rgb="FFFF0000"/>
      <name val="David"/>
    </font>
    <font>
      <sz val="12"/>
      <color rgb="FFFF0000"/>
      <name val="David"/>
    </font>
    <font>
      <sz val="12"/>
      <color rgb="FF00B050"/>
      <name val="David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5" borderId="0" xfId="0" applyFont="1" applyFill="1"/>
    <xf numFmtId="0" fontId="1" fillId="5" borderId="0" xfId="0" applyFont="1" applyFill="1"/>
    <xf numFmtId="0" fontId="2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2" borderId="7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317500</xdr:colOff>
      <xdr:row>1</xdr:row>
      <xdr:rowOff>19050</xdr:rowOff>
    </xdr:from>
    <xdr:to>
      <xdr:col>19</xdr:col>
      <xdr:colOff>463550</xdr:colOff>
      <xdr:row>22</xdr:row>
      <xdr:rowOff>109535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12720-9FD4-39D2-D436-DF9995BA7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8843950" y="222250"/>
          <a:ext cx="6750050" cy="4395785"/>
        </a:xfrm>
        <a:prstGeom prst="rect">
          <a:avLst/>
        </a:prstGeom>
      </xdr:spPr>
    </xdr:pic>
    <xdr:clientData/>
  </xdr:twoCellAnchor>
  <xdr:twoCellAnchor>
    <xdr:from>
      <xdr:col>6</xdr:col>
      <xdr:colOff>635000</xdr:colOff>
      <xdr:row>1</xdr:row>
      <xdr:rowOff>88900</xdr:rowOff>
    </xdr:from>
    <xdr:to>
      <xdr:col>7</xdr:col>
      <xdr:colOff>152400</xdr:colOff>
      <xdr:row>3</xdr:row>
      <xdr:rowOff>12700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F071E9C-2E04-99FF-E1C9-D651F25DE154}"/>
            </a:ext>
          </a:extLst>
        </xdr:cNvPr>
        <xdr:cNvSpPr/>
      </xdr:nvSpPr>
      <xdr:spPr>
        <a:xfrm>
          <a:off x="13520712100" y="292100"/>
          <a:ext cx="34290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323850</xdr:colOff>
      <xdr:row>2</xdr:row>
      <xdr:rowOff>190500</xdr:rowOff>
    </xdr:from>
    <xdr:to>
      <xdr:col>6</xdr:col>
      <xdr:colOff>647700</xdr:colOff>
      <xdr:row>7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8CBB984-95A8-193A-14A9-896A39C71ED1}"/>
            </a:ext>
          </a:extLst>
        </xdr:cNvPr>
        <xdr:cNvCxnSpPr/>
      </xdr:nvCxnSpPr>
      <xdr:spPr>
        <a:xfrm>
          <a:off x="13521042300" y="596900"/>
          <a:ext cx="1149350" cy="901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2</xdr:row>
      <xdr:rowOff>165100</xdr:rowOff>
    </xdr:from>
    <xdr:to>
      <xdr:col>8</xdr:col>
      <xdr:colOff>450850</xdr:colOff>
      <xdr:row>7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957C198-72DB-2BEA-C0C9-BD373C90A7A1}"/>
            </a:ext>
          </a:extLst>
        </xdr:cNvPr>
        <xdr:cNvCxnSpPr/>
      </xdr:nvCxnSpPr>
      <xdr:spPr>
        <a:xfrm flipH="1">
          <a:off x="13519588150" y="571500"/>
          <a:ext cx="1143000" cy="901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7</xdr:row>
      <xdr:rowOff>19050</xdr:rowOff>
    </xdr:from>
    <xdr:to>
      <xdr:col>5</xdr:col>
      <xdr:colOff>342900</xdr:colOff>
      <xdr:row>8</xdr:row>
      <xdr:rowOff>114300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17162FB-A3F0-79C8-C099-F5F8B837036C}"/>
            </a:ext>
          </a:extLst>
        </xdr:cNvPr>
        <xdr:cNvSpPr/>
      </xdr:nvSpPr>
      <xdr:spPr>
        <a:xfrm>
          <a:off x="13522172600" y="1441450"/>
          <a:ext cx="26670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622300</xdr:colOff>
      <xdr:row>8</xdr:row>
      <xdr:rowOff>76200</xdr:rowOff>
    </xdr:from>
    <xdr:to>
      <xdr:col>5</xdr:col>
      <xdr:colOff>120650</xdr:colOff>
      <xdr:row>12</xdr:row>
      <xdr:rowOff>165100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080B977-296B-8D9A-851E-EEE414398E83}"/>
            </a:ext>
          </a:extLst>
        </xdr:cNvPr>
        <xdr:cNvCxnSpPr/>
      </xdr:nvCxnSpPr>
      <xdr:spPr>
        <a:xfrm>
          <a:off x="13522394850" y="1701800"/>
          <a:ext cx="1149350" cy="901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303843</xdr:colOff>
      <xdr:row>8</xdr:row>
      <xdr:rowOff>70593</xdr:rowOff>
    </xdr:from>
    <xdr:to>
      <xdr:col>6</xdr:col>
      <xdr:colOff>88900</xdr:colOff>
      <xdr:row>13</xdr:row>
      <xdr:rowOff>107950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1DDADC4-3C4E-C51A-88A7-D66FBE8EB7F6}"/>
            </a:ext>
          </a:extLst>
        </xdr:cNvPr>
        <xdr:cNvCxnSpPr>
          <a:stCxn id="10" idx="3"/>
        </xdr:cNvCxnSpPr>
      </xdr:nvCxnSpPr>
      <xdr:spPr>
        <a:xfrm flipH="1">
          <a:off x="13521601100" y="1696193"/>
          <a:ext cx="610557" cy="1053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13</xdr:row>
      <xdr:rowOff>0</xdr:rowOff>
    </xdr:from>
    <xdr:to>
      <xdr:col>3</xdr:col>
      <xdr:colOff>742950</xdr:colOff>
      <xdr:row>14</xdr:row>
      <xdr:rowOff>127000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731EAFAC-6D54-3858-7A62-2475A88D63C7}"/>
            </a:ext>
          </a:extLst>
        </xdr:cNvPr>
        <xdr:cNvSpPr/>
      </xdr:nvSpPr>
      <xdr:spPr>
        <a:xfrm>
          <a:off x="13522598050" y="2641600"/>
          <a:ext cx="34290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184150</xdr:colOff>
      <xdr:row>14</xdr:row>
      <xdr:rowOff>120650</xdr:rowOff>
    </xdr:from>
    <xdr:to>
      <xdr:col>3</xdr:col>
      <xdr:colOff>425450</xdr:colOff>
      <xdr:row>20</xdr:row>
      <xdr:rowOff>6350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DE87A25-935D-B9BF-FFB0-EDA0CD9E3F94}"/>
            </a:ext>
          </a:extLst>
        </xdr:cNvPr>
        <xdr:cNvCxnSpPr/>
      </xdr:nvCxnSpPr>
      <xdr:spPr>
        <a:xfrm>
          <a:off x="13522090050" y="2965450"/>
          <a:ext cx="106680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730250</xdr:colOff>
      <xdr:row>14</xdr:row>
      <xdr:rowOff>120650</xdr:rowOff>
    </xdr:from>
    <xdr:to>
      <xdr:col>4</xdr:col>
      <xdr:colOff>431800</xdr:colOff>
      <xdr:row>20</xdr:row>
      <xdr:rowOff>69850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3680941-70B2-4113-F246-84BBD062CE57}"/>
            </a:ext>
          </a:extLst>
        </xdr:cNvPr>
        <xdr:cNvCxnSpPr/>
      </xdr:nvCxnSpPr>
      <xdr:spPr>
        <a:xfrm flipH="1">
          <a:off x="13522083700" y="2965450"/>
          <a:ext cx="527050" cy="1168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13</xdr:row>
      <xdr:rowOff>133350</xdr:rowOff>
    </xdr:from>
    <xdr:to>
      <xdr:col>6</xdr:col>
      <xdr:colOff>438150</xdr:colOff>
      <xdr:row>15</xdr:row>
      <xdr:rowOff>57150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7FCE251E-F1B7-8C9B-39D8-3555725DC2A8}"/>
            </a:ext>
          </a:extLst>
        </xdr:cNvPr>
        <xdr:cNvSpPr/>
      </xdr:nvSpPr>
      <xdr:spPr>
        <a:xfrm>
          <a:off x="13520426350" y="2774950"/>
          <a:ext cx="34290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603250</xdr:colOff>
      <xdr:row>15</xdr:row>
      <xdr:rowOff>63500</xdr:rowOff>
    </xdr:from>
    <xdr:to>
      <xdr:col>6</xdr:col>
      <xdr:colOff>158750</xdr:colOff>
      <xdr:row>20</xdr:row>
      <xdr:rowOff>107950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3DDF4C2-EC47-CB75-743E-C16C3A5B484E}"/>
            </a:ext>
          </a:extLst>
        </xdr:cNvPr>
        <xdr:cNvCxnSpPr/>
      </xdr:nvCxnSpPr>
      <xdr:spPr>
        <a:xfrm>
          <a:off x="13520705750" y="3111500"/>
          <a:ext cx="381000" cy="1060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15</xdr:row>
      <xdr:rowOff>57150</xdr:rowOff>
    </xdr:from>
    <xdr:to>
      <xdr:col>7</xdr:col>
      <xdr:colOff>355600</xdr:colOff>
      <xdr:row>20</xdr:row>
      <xdr:rowOff>146050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9DE9876-7E4D-A0B8-D893-F7B567B27798}"/>
            </a:ext>
          </a:extLst>
        </xdr:cNvPr>
        <xdr:cNvCxnSpPr/>
      </xdr:nvCxnSpPr>
      <xdr:spPr>
        <a:xfrm flipH="1">
          <a:off x="13519683400" y="3105150"/>
          <a:ext cx="75565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781050</xdr:colOff>
      <xdr:row>20</xdr:row>
      <xdr:rowOff>12700</xdr:rowOff>
    </xdr:from>
    <xdr:to>
      <xdr:col>2</xdr:col>
      <xdr:colOff>222250</xdr:colOff>
      <xdr:row>21</xdr:row>
      <xdr:rowOff>107950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56E0B08-1DE3-282E-B522-77CCF54A6823}"/>
            </a:ext>
          </a:extLst>
        </xdr:cNvPr>
        <xdr:cNvSpPr/>
      </xdr:nvSpPr>
      <xdr:spPr>
        <a:xfrm>
          <a:off x="13523118750" y="4076700"/>
          <a:ext cx="26670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2</xdr:col>
      <xdr:colOff>25400</xdr:colOff>
      <xdr:row>27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042BDB0-E073-73FF-B342-B9E893F4549C}"/>
            </a:ext>
          </a:extLst>
        </xdr:cNvPr>
        <xdr:cNvCxnSpPr/>
      </xdr:nvCxnSpPr>
      <xdr:spPr>
        <a:xfrm>
          <a:off x="13523315600" y="4381500"/>
          <a:ext cx="106680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21</xdr:row>
      <xdr:rowOff>107950</xdr:rowOff>
    </xdr:from>
    <xdr:to>
      <xdr:col>2</xdr:col>
      <xdr:colOff>571500</xdr:colOff>
      <xdr:row>27</xdr:row>
      <xdr:rowOff>171450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1F2AD01-0A29-BF13-361B-2CCB5C403137}"/>
            </a:ext>
          </a:extLst>
        </xdr:cNvPr>
        <xdr:cNvCxnSpPr>
          <a:stCxn id="29" idx="4"/>
        </xdr:cNvCxnSpPr>
      </xdr:nvCxnSpPr>
      <xdr:spPr>
        <a:xfrm flipH="1">
          <a:off x="13522769500" y="4375150"/>
          <a:ext cx="482600" cy="128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450850</xdr:colOff>
      <xdr:row>20</xdr:row>
      <xdr:rowOff>171450</xdr:rowOff>
    </xdr:from>
    <xdr:to>
      <xdr:col>5</xdr:col>
      <xdr:colOff>717550</xdr:colOff>
      <xdr:row>22</xdr:row>
      <xdr:rowOff>63500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682CC45-64D2-D20E-D56F-3E4C122FA160}"/>
            </a:ext>
          </a:extLst>
        </xdr:cNvPr>
        <xdr:cNvSpPr/>
      </xdr:nvSpPr>
      <xdr:spPr>
        <a:xfrm>
          <a:off x="13520146950" y="4235450"/>
          <a:ext cx="26670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133350</xdr:colOff>
      <xdr:row>22</xdr:row>
      <xdr:rowOff>63500</xdr:rowOff>
    </xdr:from>
    <xdr:to>
      <xdr:col>5</xdr:col>
      <xdr:colOff>539750</xdr:colOff>
      <xdr:row>27</xdr:row>
      <xdr:rowOff>165100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490A3C6-4BE0-BF13-3A99-9F0900AA3200}"/>
            </a:ext>
          </a:extLst>
        </xdr:cNvPr>
        <xdr:cNvCxnSpPr/>
      </xdr:nvCxnSpPr>
      <xdr:spPr>
        <a:xfrm>
          <a:off x="13520324750" y="4533900"/>
          <a:ext cx="406400" cy="1117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678493</xdr:colOff>
      <xdr:row>22</xdr:row>
      <xdr:rowOff>19793</xdr:rowOff>
    </xdr:from>
    <xdr:to>
      <xdr:col>5</xdr:col>
      <xdr:colOff>806450</xdr:colOff>
      <xdr:row>28</xdr:row>
      <xdr:rowOff>69850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D9EE3CE-AC73-C92F-AB36-8B0DBBFDB8D3}"/>
            </a:ext>
          </a:extLst>
        </xdr:cNvPr>
        <xdr:cNvCxnSpPr>
          <a:stCxn id="34" idx="3"/>
        </xdr:cNvCxnSpPr>
      </xdr:nvCxnSpPr>
      <xdr:spPr>
        <a:xfrm flipH="1">
          <a:off x="13520058050" y="4490193"/>
          <a:ext cx="127957" cy="12692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482600</xdr:colOff>
      <xdr:row>7</xdr:row>
      <xdr:rowOff>31750</xdr:rowOff>
    </xdr:from>
    <xdr:to>
      <xdr:col>9</xdr:col>
      <xdr:colOff>0</xdr:colOff>
      <xdr:row>8</xdr:row>
      <xdr:rowOff>158750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19F9D2F6-7F1C-F0A4-69D3-5F05243E2B5D}"/>
            </a:ext>
          </a:extLst>
        </xdr:cNvPr>
        <xdr:cNvSpPr/>
      </xdr:nvSpPr>
      <xdr:spPr>
        <a:xfrm>
          <a:off x="13517562500" y="1454150"/>
          <a:ext cx="34290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6350</xdr:colOff>
      <xdr:row>8</xdr:row>
      <xdr:rowOff>114300</xdr:rowOff>
    </xdr:from>
    <xdr:to>
      <xdr:col>9</xdr:col>
      <xdr:colOff>762000</xdr:colOff>
      <xdr:row>14</xdr:row>
      <xdr:rowOff>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33511D1-7CFA-592A-53AD-9B1B7761D856}"/>
            </a:ext>
          </a:extLst>
        </xdr:cNvPr>
        <xdr:cNvCxnSpPr/>
      </xdr:nvCxnSpPr>
      <xdr:spPr>
        <a:xfrm flipH="1">
          <a:off x="13516800500" y="1739900"/>
          <a:ext cx="75565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654050</xdr:colOff>
      <xdr:row>8</xdr:row>
      <xdr:rowOff>158750</xdr:rowOff>
    </xdr:from>
    <xdr:to>
      <xdr:col>8</xdr:col>
      <xdr:colOff>660400</xdr:colOff>
      <xdr:row>18</xdr:row>
      <xdr:rowOff>44450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500D51C-2DA6-0500-D967-EDC2694184D8}"/>
            </a:ext>
          </a:extLst>
        </xdr:cNvPr>
        <xdr:cNvCxnSpPr>
          <a:stCxn id="39" idx="2"/>
        </xdr:cNvCxnSpPr>
      </xdr:nvCxnSpPr>
      <xdr:spPr>
        <a:xfrm flipH="1">
          <a:off x="13517727600" y="1784350"/>
          <a:ext cx="6350" cy="191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18</xdr:row>
      <xdr:rowOff>101600</xdr:rowOff>
    </xdr:from>
    <xdr:to>
      <xdr:col>9</xdr:col>
      <xdr:colOff>12700</xdr:colOff>
      <xdr:row>19</xdr:row>
      <xdr:rowOff>196850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DFF2827-62F2-EE30-A323-12B99064F6DC}"/>
            </a:ext>
          </a:extLst>
        </xdr:cNvPr>
        <xdr:cNvSpPr/>
      </xdr:nvSpPr>
      <xdr:spPr>
        <a:xfrm>
          <a:off x="13517549800" y="3759200"/>
          <a:ext cx="26670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799143</xdr:colOff>
      <xdr:row>19</xdr:row>
      <xdr:rowOff>153143</xdr:rowOff>
    </xdr:from>
    <xdr:to>
      <xdr:col>10</xdr:col>
      <xdr:colOff>158750</xdr:colOff>
      <xdr:row>24</xdr:row>
      <xdr:rowOff>114300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195BE28-959B-9427-E004-F8A92978AFB9}"/>
            </a:ext>
          </a:extLst>
        </xdr:cNvPr>
        <xdr:cNvCxnSpPr>
          <a:stCxn id="44" idx="3"/>
        </xdr:cNvCxnSpPr>
      </xdr:nvCxnSpPr>
      <xdr:spPr>
        <a:xfrm flipH="1">
          <a:off x="13516578250" y="4013943"/>
          <a:ext cx="1010607" cy="9771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19</xdr:row>
      <xdr:rowOff>178543</xdr:rowOff>
    </xdr:from>
    <xdr:to>
      <xdr:col>8</xdr:col>
      <xdr:colOff>608643</xdr:colOff>
      <xdr:row>27</xdr:row>
      <xdr:rowOff>177800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B66D6742-D307-1DA2-3FBE-AC15E60D6E23}"/>
            </a:ext>
          </a:extLst>
        </xdr:cNvPr>
        <xdr:cNvCxnSpPr/>
      </xdr:nvCxnSpPr>
      <xdr:spPr>
        <a:xfrm>
          <a:off x="13517779357" y="4039343"/>
          <a:ext cx="75243" cy="1624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162560</xdr:colOff>
      <xdr:row>34</xdr:row>
      <xdr:rowOff>30480</xdr:rowOff>
    </xdr:from>
    <xdr:to>
      <xdr:col>4</xdr:col>
      <xdr:colOff>482600</xdr:colOff>
      <xdr:row>35</xdr:row>
      <xdr:rowOff>157480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66B0936-BF3E-8BEE-F44E-F3FE1B139DD0}"/>
            </a:ext>
          </a:extLst>
        </xdr:cNvPr>
        <xdr:cNvSpPr/>
      </xdr:nvSpPr>
      <xdr:spPr>
        <a:xfrm>
          <a:off x="13562812600" y="2265680"/>
          <a:ext cx="32004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289560</xdr:colOff>
      <xdr:row>35</xdr:row>
      <xdr:rowOff>147320</xdr:rowOff>
    </xdr:from>
    <xdr:to>
      <xdr:col>4</xdr:col>
      <xdr:colOff>182880</xdr:colOff>
      <xdr:row>39</xdr:row>
      <xdr:rowOff>81280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0392B23-3E53-1938-7F5F-AE0E46D35F2A}"/>
            </a:ext>
          </a:extLst>
        </xdr:cNvPr>
        <xdr:cNvCxnSpPr/>
      </xdr:nvCxnSpPr>
      <xdr:spPr>
        <a:xfrm>
          <a:off x="13563112320" y="2585720"/>
          <a:ext cx="721360" cy="7467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447040</xdr:colOff>
      <xdr:row>35</xdr:row>
      <xdr:rowOff>132080</xdr:rowOff>
    </xdr:from>
    <xdr:to>
      <xdr:col>5</xdr:col>
      <xdr:colOff>320040</xdr:colOff>
      <xdr:row>39</xdr:row>
      <xdr:rowOff>127000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EC3C9B-F7E5-9E72-76A1-BBB5953699E5}"/>
            </a:ext>
          </a:extLst>
        </xdr:cNvPr>
        <xdr:cNvCxnSpPr/>
      </xdr:nvCxnSpPr>
      <xdr:spPr>
        <a:xfrm flipH="1">
          <a:off x="13562147120" y="2570480"/>
          <a:ext cx="701040" cy="807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309880</xdr:colOff>
      <xdr:row>39</xdr:row>
      <xdr:rowOff>142240</xdr:rowOff>
    </xdr:from>
    <xdr:to>
      <xdr:col>5</xdr:col>
      <xdr:colOff>629920</xdr:colOff>
      <xdr:row>41</xdr:row>
      <xdr:rowOff>66040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E29FCA95-00D1-E305-5F90-3F55B8A60263}"/>
            </a:ext>
          </a:extLst>
        </xdr:cNvPr>
        <xdr:cNvSpPr/>
      </xdr:nvSpPr>
      <xdr:spPr>
        <a:xfrm>
          <a:off x="13561837240" y="3799840"/>
          <a:ext cx="32004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386080</xdr:colOff>
      <xdr:row>41</xdr:row>
      <xdr:rowOff>66040</xdr:rowOff>
    </xdr:from>
    <xdr:to>
      <xdr:col>5</xdr:col>
      <xdr:colOff>421640</xdr:colOff>
      <xdr:row>46</xdr:row>
      <xdr:rowOff>198120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685463C-C961-2926-0188-D5640F77D59A}"/>
            </a:ext>
          </a:extLst>
        </xdr:cNvPr>
        <xdr:cNvCxnSpPr/>
      </xdr:nvCxnSpPr>
      <xdr:spPr>
        <a:xfrm>
          <a:off x="13562045520" y="4130040"/>
          <a:ext cx="35560" cy="1148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650240</xdr:colOff>
      <xdr:row>41</xdr:row>
      <xdr:rowOff>55880</xdr:rowOff>
    </xdr:from>
    <xdr:to>
      <xdr:col>6</xdr:col>
      <xdr:colOff>645160</xdr:colOff>
      <xdr:row>47</xdr:row>
      <xdr:rowOff>15240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2EC37F3-B8FF-0540-5F05-A3E49CDAD846}"/>
            </a:ext>
          </a:extLst>
        </xdr:cNvPr>
        <xdr:cNvCxnSpPr/>
      </xdr:nvCxnSpPr>
      <xdr:spPr>
        <a:xfrm flipH="1">
          <a:off x="13560993960" y="4119880"/>
          <a:ext cx="822960" cy="1178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47</xdr:row>
      <xdr:rowOff>5080</xdr:rowOff>
    </xdr:from>
    <xdr:to>
      <xdr:col>5</xdr:col>
      <xdr:colOff>518160</xdr:colOff>
      <xdr:row>48</xdr:row>
      <xdr:rowOff>71120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590E997-F3A5-895B-5809-4FFB2247FFDC}"/>
            </a:ext>
          </a:extLst>
        </xdr:cNvPr>
        <xdr:cNvSpPr/>
      </xdr:nvSpPr>
      <xdr:spPr>
        <a:xfrm>
          <a:off x="13561949000" y="6101080"/>
          <a:ext cx="274320" cy="2692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477520</xdr:colOff>
      <xdr:row>48</xdr:row>
      <xdr:rowOff>30480</xdr:rowOff>
    </xdr:from>
    <xdr:to>
      <xdr:col>6</xdr:col>
      <xdr:colOff>127000</xdr:colOff>
      <xdr:row>53</xdr:row>
      <xdr:rowOff>15240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66721B0-5261-AAB7-DDDC-B73D145EEE3E}"/>
            </a:ext>
          </a:extLst>
        </xdr:cNvPr>
        <xdr:cNvCxnSpPr/>
      </xdr:nvCxnSpPr>
      <xdr:spPr>
        <a:xfrm flipH="1">
          <a:off x="13561512120" y="6329680"/>
          <a:ext cx="477520" cy="10007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320040</xdr:colOff>
      <xdr:row>48</xdr:row>
      <xdr:rowOff>55880</xdr:rowOff>
    </xdr:from>
    <xdr:to>
      <xdr:col>5</xdr:col>
      <xdr:colOff>421640</xdr:colOff>
      <xdr:row>55</xdr:row>
      <xdr:rowOff>10160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3E164DB-131E-81AE-507B-96CC9E829CFC}"/>
            </a:ext>
          </a:extLst>
        </xdr:cNvPr>
        <xdr:cNvCxnSpPr/>
      </xdr:nvCxnSpPr>
      <xdr:spPr>
        <a:xfrm flipH="1">
          <a:off x="13562045520" y="6761480"/>
          <a:ext cx="101600" cy="1376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86360</xdr:colOff>
      <xdr:row>39</xdr:row>
      <xdr:rowOff>86360</xdr:rowOff>
    </xdr:from>
    <xdr:to>
      <xdr:col>3</xdr:col>
      <xdr:colOff>360680</xdr:colOff>
      <xdr:row>40</xdr:row>
      <xdr:rowOff>152400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B82DDDB-7761-CD8A-E0EA-45AFB811F5AA}"/>
            </a:ext>
          </a:extLst>
        </xdr:cNvPr>
        <xdr:cNvSpPr/>
      </xdr:nvSpPr>
      <xdr:spPr>
        <a:xfrm>
          <a:off x="13563762560" y="5979160"/>
          <a:ext cx="274320" cy="2692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228600</xdr:colOff>
      <xdr:row>40</xdr:row>
      <xdr:rowOff>101600</xdr:rowOff>
    </xdr:from>
    <xdr:to>
      <xdr:col>3</xdr:col>
      <xdr:colOff>121920</xdr:colOff>
      <xdr:row>44</xdr:row>
      <xdr:rowOff>35560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D84D158-9BF6-6EC2-038E-E73DFD2128EE}"/>
            </a:ext>
          </a:extLst>
        </xdr:cNvPr>
        <xdr:cNvCxnSpPr/>
      </xdr:nvCxnSpPr>
      <xdr:spPr>
        <a:xfrm>
          <a:off x="13564001320" y="6197600"/>
          <a:ext cx="721360" cy="7467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320507</xdr:colOff>
      <xdr:row>40</xdr:row>
      <xdr:rowOff>112971</xdr:rowOff>
    </xdr:from>
    <xdr:to>
      <xdr:col>3</xdr:col>
      <xdr:colOff>731520</xdr:colOff>
      <xdr:row>44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9B39A0D-C19B-F5F1-B921-2C46378369BE}"/>
            </a:ext>
          </a:extLst>
        </xdr:cNvPr>
        <xdr:cNvCxnSpPr>
          <a:stCxn id="27" idx="3"/>
        </xdr:cNvCxnSpPr>
      </xdr:nvCxnSpPr>
      <xdr:spPr>
        <a:xfrm flipH="1">
          <a:off x="13563391720" y="6208971"/>
          <a:ext cx="411013" cy="7912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787400</xdr:colOff>
      <xdr:row>44</xdr:row>
      <xdr:rowOff>50800</xdr:rowOff>
    </xdr:from>
    <xdr:to>
      <xdr:col>2</xdr:col>
      <xdr:colOff>279400</xdr:colOff>
      <xdr:row>45</xdr:row>
      <xdr:rowOff>177800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EBE83B71-79C1-E8A6-B105-1A222A46DE57}"/>
            </a:ext>
          </a:extLst>
        </xdr:cNvPr>
        <xdr:cNvSpPr/>
      </xdr:nvSpPr>
      <xdr:spPr>
        <a:xfrm>
          <a:off x="13564671880" y="7569200"/>
          <a:ext cx="32004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650240</xdr:colOff>
      <xdr:row>44</xdr:row>
      <xdr:rowOff>106680</xdr:rowOff>
    </xdr:from>
    <xdr:to>
      <xdr:col>4</xdr:col>
      <xdr:colOff>142240</xdr:colOff>
      <xdr:row>46</xdr:row>
      <xdr:rowOff>30480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9902C0FB-A047-1EC8-AD6B-8BE03C959264}"/>
            </a:ext>
          </a:extLst>
        </xdr:cNvPr>
        <xdr:cNvSpPr/>
      </xdr:nvSpPr>
      <xdr:spPr>
        <a:xfrm>
          <a:off x="13563152960" y="7625080"/>
          <a:ext cx="320040" cy="330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807720</xdr:colOff>
      <xdr:row>45</xdr:row>
      <xdr:rowOff>157480</xdr:rowOff>
    </xdr:from>
    <xdr:to>
      <xdr:col>1</xdr:col>
      <xdr:colOff>797560</xdr:colOff>
      <xdr:row>53</xdr:row>
      <xdr:rowOff>45720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CABEB42-66A0-6FFE-0F25-9655678B4AB0}"/>
            </a:ext>
          </a:extLst>
        </xdr:cNvPr>
        <xdr:cNvCxnSpPr/>
      </xdr:nvCxnSpPr>
      <xdr:spPr>
        <a:xfrm>
          <a:off x="13564981760" y="8285480"/>
          <a:ext cx="817880" cy="1513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119380</xdr:colOff>
      <xdr:row>45</xdr:row>
      <xdr:rowOff>177800</xdr:rowOff>
    </xdr:from>
    <xdr:to>
      <xdr:col>2</xdr:col>
      <xdr:colOff>299720</xdr:colOff>
      <xdr:row>48</xdr:row>
      <xdr:rowOff>193040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6A05B7C-0A8F-C5E1-1ED9-48D14CE64F8A}"/>
            </a:ext>
          </a:extLst>
        </xdr:cNvPr>
        <xdr:cNvCxnSpPr>
          <a:stCxn id="33" idx="2"/>
        </xdr:cNvCxnSpPr>
      </xdr:nvCxnSpPr>
      <xdr:spPr>
        <a:xfrm flipH="1">
          <a:off x="13564651560" y="7899400"/>
          <a:ext cx="180340" cy="624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264160</xdr:colOff>
      <xdr:row>46</xdr:row>
      <xdr:rowOff>15240</xdr:rowOff>
    </xdr:from>
    <xdr:to>
      <xdr:col>3</xdr:col>
      <xdr:colOff>782320</xdr:colOff>
      <xdr:row>55</xdr:row>
      <xdr:rowOff>50800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DD4F5A4-BB6C-CA12-0CDB-94179B0BF788}"/>
            </a:ext>
          </a:extLst>
        </xdr:cNvPr>
        <xdr:cNvCxnSpPr/>
      </xdr:nvCxnSpPr>
      <xdr:spPr>
        <a:xfrm>
          <a:off x="13563340920" y="8346440"/>
          <a:ext cx="518160" cy="1864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104140</xdr:colOff>
      <xdr:row>46</xdr:row>
      <xdr:rowOff>35560</xdr:rowOff>
    </xdr:from>
    <xdr:to>
      <xdr:col>4</xdr:col>
      <xdr:colOff>314960</xdr:colOff>
      <xdr:row>49</xdr:row>
      <xdr:rowOff>35560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C081E27E-F58A-1C95-240A-966C609BC04B}"/>
            </a:ext>
          </a:extLst>
        </xdr:cNvPr>
        <xdr:cNvCxnSpPr/>
      </xdr:nvCxnSpPr>
      <xdr:spPr>
        <a:xfrm flipH="1">
          <a:off x="13562980240" y="7960360"/>
          <a:ext cx="210820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619760</xdr:colOff>
      <xdr:row>53</xdr:row>
      <xdr:rowOff>76200</xdr:rowOff>
    </xdr:from>
    <xdr:to>
      <xdr:col>1</xdr:col>
      <xdr:colOff>66040</xdr:colOff>
      <xdr:row>54</xdr:row>
      <xdr:rowOff>142240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63A2CA93-8928-1A14-8B75-892386AF4A34}"/>
            </a:ext>
          </a:extLst>
        </xdr:cNvPr>
        <xdr:cNvSpPr/>
      </xdr:nvSpPr>
      <xdr:spPr>
        <a:xfrm>
          <a:off x="13565713280" y="10642600"/>
          <a:ext cx="274320" cy="2692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320040</xdr:colOff>
      <xdr:row>54</xdr:row>
      <xdr:rowOff>132080</xdr:rowOff>
    </xdr:from>
    <xdr:to>
      <xdr:col>0</xdr:col>
      <xdr:colOff>680720</xdr:colOff>
      <xdr:row>60</xdr:row>
      <xdr:rowOff>25400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F031012-0CA4-A45C-65BE-7D349A5EB714}"/>
            </a:ext>
          </a:extLst>
        </xdr:cNvPr>
        <xdr:cNvCxnSpPr/>
      </xdr:nvCxnSpPr>
      <xdr:spPr>
        <a:xfrm>
          <a:off x="13565926640" y="10901680"/>
          <a:ext cx="360680" cy="1112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25867</xdr:colOff>
      <xdr:row>54</xdr:row>
      <xdr:rowOff>102811</xdr:rowOff>
    </xdr:from>
    <xdr:to>
      <xdr:col>1</xdr:col>
      <xdr:colOff>213360</xdr:colOff>
      <xdr:row>60</xdr:row>
      <xdr:rowOff>71120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A6E0FC21-4E52-0933-FFAB-D03382C2D024}"/>
            </a:ext>
          </a:extLst>
        </xdr:cNvPr>
        <xdr:cNvCxnSpPr>
          <a:stCxn id="46" idx="3"/>
        </xdr:cNvCxnSpPr>
      </xdr:nvCxnSpPr>
      <xdr:spPr>
        <a:xfrm flipH="1">
          <a:off x="13565565960" y="10872411"/>
          <a:ext cx="187493" cy="1187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132080</xdr:colOff>
      <xdr:row>55</xdr:row>
      <xdr:rowOff>45720</xdr:rowOff>
    </xdr:from>
    <xdr:to>
      <xdr:col>3</xdr:col>
      <xdr:colOff>406400</xdr:colOff>
      <xdr:row>56</xdr:row>
      <xdr:rowOff>111760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8AA66D9-01FA-DE30-9E69-E1C86ECB5A15}"/>
            </a:ext>
          </a:extLst>
        </xdr:cNvPr>
        <xdr:cNvSpPr/>
      </xdr:nvSpPr>
      <xdr:spPr>
        <a:xfrm>
          <a:off x="13563716840" y="11221720"/>
          <a:ext cx="274320" cy="2692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635000</xdr:colOff>
      <xdr:row>56</xdr:row>
      <xdr:rowOff>86360</xdr:rowOff>
    </xdr:from>
    <xdr:to>
      <xdr:col>3</xdr:col>
      <xdr:colOff>167640</xdr:colOff>
      <xdr:row>61</xdr:row>
      <xdr:rowOff>182880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4D62DF1C-AA9B-7FFB-C537-0E87505D2378}"/>
            </a:ext>
          </a:extLst>
        </xdr:cNvPr>
        <xdr:cNvCxnSpPr/>
      </xdr:nvCxnSpPr>
      <xdr:spPr>
        <a:xfrm>
          <a:off x="13563955600" y="11465560"/>
          <a:ext cx="360680" cy="1112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340827</xdr:colOff>
      <xdr:row>56</xdr:row>
      <xdr:rowOff>57091</xdr:rowOff>
    </xdr:from>
    <xdr:to>
      <xdr:col>3</xdr:col>
      <xdr:colOff>528320</xdr:colOff>
      <xdr:row>62</xdr:row>
      <xdr:rowOff>25400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4673E2B-116B-616A-7B61-EFABF3D3B452}"/>
            </a:ext>
          </a:extLst>
        </xdr:cNvPr>
        <xdr:cNvCxnSpPr/>
      </xdr:nvCxnSpPr>
      <xdr:spPr>
        <a:xfrm flipH="1">
          <a:off x="13563594920" y="11436291"/>
          <a:ext cx="187493" cy="1187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162560</xdr:colOff>
      <xdr:row>65</xdr:row>
      <xdr:rowOff>30480</xdr:rowOff>
    </xdr:from>
    <xdr:to>
      <xdr:col>4</xdr:col>
      <xdr:colOff>482600</xdr:colOff>
      <xdr:row>66</xdr:row>
      <xdr:rowOff>157480</xdr:rowOff>
    </xdr:to>
    <xdr:sp macro="" textlink="">
      <xdr:nvSpPr>
        <xdr:cNvPr id="55" name="Rounded Rectangle 54">
          <a:extLst>
            <a:ext uri="{FF2B5EF4-FFF2-40B4-BE49-F238E27FC236}">
              <a16:creationId xmlns:a16="http://schemas.microsoft.com/office/drawing/2014/main" id="{FB4D01B3-B860-A441-A2A4-2AE66EA4E768}"/>
            </a:ext>
          </a:extLst>
        </xdr:cNvPr>
        <xdr:cNvSpPr/>
      </xdr:nvSpPr>
      <xdr:spPr>
        <a:xfrm>
          <a:off x="13543337826" y="7023586"/>
          <a:ext cx="320040" cy="3323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289560</xdr:colOff>
      <xdr:row>66</xdr:row>
      <xdr:rowOff>147320</xdr:rowOff>
    </xdr:from>
    <xdr:to>
      <xdr:col>4</xdr:col>
      <xdr:colOff>182880</xdr:colOff>
      <xdr:row>70</xdr:row>
      <xdr:rowOff>81280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B9288A65-FA41-EB4C-9638-6937957D2F52}"/>
            </a:ext>
          </a:extLst>
        </xdr:cNvPr>
        <xdr:cNvCxnSpPr/>
      </xdr:nvCxnSpPr>
      <xdr:spPr>
        <a:xfrm>
          <a:off x="13543637546" y="7345788"/>
          <a:ext cx="720171" cy="7554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447040</xdr:colOff>
      <xdr:row>66</xdr:row>
      <xdr:rowOff>132080</xdr:rowOff>
    </xdr:from>
    <xdr:to>
      <xdr:col>5</xdr:col>
      <xdr:colOff>320040</xdr:colOff>
      <xdr:row>70</xdr:row>
      <xdr:rowOff>127000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6ED46B1-81B4-0A4C-A018-4459CC2B4911}"/>
            </a:ext>
          </a:extLst>
        </xdr:cNvPr>
        <xdr:cNvCxnSpPr/>
      </xdr:nvCxnSpPr>
      <xdr:spPr>
        <a:xfrm flipH="1">
          <a:off x="13542673535" y="7330548"/>
          <a:ext cx="699851" cy="8163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309880</xdr:colOff>
      <xdr:row>70</xdr:row>
      <xdr:rowOff>142240</xdr:rowOff>
    </xdr:from>
    <xdr:to>
      <xdr:col>5</xdr:col>
      <xdr:colOff>629920</xdr:colOff>
      <xdr:row>72</xdr:row>
      <xdr:rowOff>66040</xdr:rowOff>
    </xdr:to>
    <xdr:sp macro="" textlink="">
      <xdr:nvSpPr>
        <xdr:cNvPr id="58" name="Rounded Rectangle 57">
          <a:extLst>
            <a:ext uri="{FF2B5EF4-FFF2-40B4-BE49-F238E27FC236}">
              <a16:creationId xmlns:a16="http://schemas.microsoft.com/office/drawing/2014/main" id="{38EED4CA-D39B-7848-B07B-8EAA515703C1}"/>
            </a:ext>
          </a:extLst>
        </xdr:cNvPr>
        <xdr:cNvSpPr/>
      </xdr:nvSpPr>
      <xdr:spPr>
        <a:xfrm>
          <a:off x="13542363655" y="8162155"/>
          <a:ext cx="320040" cy="3345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386080</xdr:colOff>
      <xdr:row>72</xdr:row>
      <xdr:rowOff>66040</xdr:rowOff>
    </xdr:from>
    <xdr:to>
      <xdr:col>5</xdr:col>
      <xdr:colOff>421640</xdr:colOff>
      <xdr:row>77</xdr:row>
      <xdr:rowOff>198120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8C2481E3-5875-C24F-A9FD-52686644C328}"/>
            </a:ext>
          </a:extLst>
        </xdr:cNvPr>
        <xdr:cNvCxnSpPr/>
      </xdr:nvCxnSpPr>
      <xdr:spPr>
        <a:xfrm>
          <a:off x="13542571935" y="8496678"/>
          <a:ext cx="35560" cy="11588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650240</xdr:colOff>
      <xdr:row>72</xdr:row>
      <xdr:rowOff>55880</xdr:rowOff>
    </xdr:from>
    <xdr:to>
      <xdr:col>6</xdr:col>
      <xdr:colOff>645160</xdr:colOff>
      <xdr:row>78</xdr:row>
      <xdr:rowOff>15240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C5759B36-7B2D-F844-9FE2-DCD0AC7811DC}"/>
            </a:ext>
          </a:extLst>
        </xdr:cNvPr>
        <xdr:cNvCxnSpPr/>
      </xdr:nvCxnSpPr>
      <xdr:spPr>
        <a:xfrm flipH="1">
          <a:off x="13541521564" y="8486518"/>
          <a:ext cx="821771" cy="11915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78</xdr:row>
      <xdr:rowOff>5080</xdr:rowOff>
    </xdr:from>
    <xdr:to>
      <xdr:col>5</xdr:col>
      <xdr:colOff>518160</xdr:colOff>
      <xdr:row>79</xdr:row>
      <xdr:rowOff>71120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7795CC3F-3B91-2040-B0C5-192063DB85FA}"/>
            </a:ext>
          </a:extLst>
        </xdr:cNvPr>
        <xdr:cNvSpPr/>
      </xdr:nvSpPr>
      <xdr:spPr>
        <a:xfrm>
          <a:off x="13542475415" y="9667889"/>
          <a:ext cx="274320" cy="2714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477520</xdr:colOff>
      <xdr:row>79</xdr:row>
      <xdr:rowOff>30480</xdr:rowOff>
    </xdr:from>
    <xdr:to>
      <xdr:col>6</xdr:col>
      <xdr:colOff>127000</xdr:colOff>
      <xdr:row>84</xdr:row>
      <xdr:rowOff>15240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36D01112-948D-D64D-BB55-7B297D3B511F}"/>
            </a:ext>
          </a:extLst>
        </xdr:cNvPr>
        <xdr:cNvCxnSpPr/>
      </xdr:nvCxnSpPr>
      <xdr:spPr>
        <a:xfrm flipH="1">
          <a:off x="13542039724" y="9898650"/>
          <a:ext cx="476331" cy="10115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320040</xdr:colOff>
      <xdr:row>79</xdr:row>
      <xdr:rowOff>55880</xdr:rowOff>
    </xdr:from>
    <xdr:to>
      <xdr:col>5</xdr:col>
      <xdr:colOff>421640</xdr:colOff>
      <xdr:row>86</xdr:row>
      <xdr:rowOff>10160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36DC687-2FFA-8946-9AEE-8A241F467A99}"/>
            </a:ext>
          </a:extLst>
        </xdr:cNvPr>
        <xdr:cNvCxnSpPr/>
      </xdr:nvCxnSpPr>
      <xdr:spPr>
        <a:xfrm flipH="1">
          <a:off x="13542571935" y="9924050"/>
          <a:ext cx="101600" cy="13918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86360</xdr:colOff>
      <xdr:row>70</xdr:row>
      <xdr:rowOff>86360</xdr:rowOff>
    </xdr:from>
    <xdr:to>
      <xdr:col>3</xdr:col>
      <xdr:colOff>360680</xdr:colOff>
      <xdr:row>71</xdr:row>
      <xdr:rowOff>152400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63EBD5B-1FAD-0B4C-8AD6-347AD3B4AB99}"/>
            </a:ext>
          </a:extLst>
        </xdr:cNvPr>
        <xdr:cNvSpPr/>
      </xdr:nvSpPr>
      <xdr:spPr>
        <a:xfrm>
          <a:off x="13544286597" y="8106275"/>
          <a:ext cx="274320" cy="27140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228600</xdr:colOff>
      <xdr:row>71</xdr:row>
      <xdr:rowOff>101600</xdr:rowOff>
    </xdr:from>
    <xdr:to>
      <xdr:col>3</xdr:col>
      <xdr:colOff>121920</xdr:colOff>
      <xdr:row>75</xdr:row>
      <xdr:rowOff>35560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4840B1E-5CDC-9B42-B8F9-0AD53669FB87}"/>
            </a:ext>
          </a:extLst>
        </xdr:cNvPr>
        <xdr:cNvCxnSpPr/>
      </xdr:nvCxnSpPr>
      <xdr:spPr>
        <a:xfrm>
          <a:off x="13544525357" y="8326877"/>
          <a:ext cx="720171" cy="7554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320507</xdr:colOff>
      <xdr:row>71</xdr:row>
      <xdr:rowOff>112971</xdr:rowOff>
    </xdr:from>
    <xdr:to>
      <xdr:col>3</xdr:col>
      <xdr:colOff>731520</xdr:colOff>
      <xdr:row>75</xdr:row>
      <xdr:rowOff>91440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9579F81B-806C-DA47-B501-6A2DEEF5EE18}"/>
            </a:ext>
          </a:extLst>
        </xdr:cNvPr>
        <xdr:cNvCxnSpPr>
          <a:stCxn id="64" idx="3"/>
        </xdr:cNvCxnSpPr>
      </xdr:nvCxnSpPr>
      <xdr:spPr>
        <a:xfrm flipH="1">
          <a:off x="13543915757" y="8338248"/>
          <a:ext cx="411013" cy="7999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787400</xdr:colOff>
      <xdr:row>75</xdr:row>
      <xdr:rowOff>50800</xdr:rowOff>
    </xdr:from>
    <xdr:to>
      <xdr:col>2</xdr:col>
      <xdr:colOff>279400</xdr:colOff>
      <xdr:row>76</xdr:row>
      <xdr:rowOff>177800</xdr:rowOff>
    </xdr:to>
    <xdr:sp macro="" textlink="">
      <xdr:nvSpPr>
        <xdr:cNvPr id="67" name="Rounded Rectangle 66">
          <a:extLst>
            <a:ext uri="{FF2B5EF4-FFF2-40B4-BE49-F238E27FC236}">
              <a16:creationId xmlns:a16="http://schemas.microsoft.com/office/drawing/2014/main" id="{763C4B5C-B467-8942-9E69-6EE79F220937}"/>
            </a:ext>
          </a:extLst>
        </xdr:cNvPr>
        <xdr:cNvSpPr/>
      </xdr:nvSpPr>
      <xdr:spPr>
        <a:xfrm>
          <a:off x="13545194728" y="9097523"/>
          <a:ext cx="318851" cy="3323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650240</xdr:colOff>
      <xdr:row>75</xdr:row>
      <xdr:rowOff>106680</xdr:rowOff>
    </xdr:from>
    <xdr:to>
      <xdr:col>4</xdr:col>
      <xdr:colOff>142240</xdr:colOff>
      <xdr:row>77</xdr:row>
      <xdr:rowOff>30480</xdr:rowOff>
    </xdr:to>
    <xdr:sp macro="" textlink="">
      <xdr:nvSpPr>
        <xdr:cNvPr id="68" name="Rounded Rectangle 67">
          <a:extLst>
            <a:ext uri="{FF2B5EF4-FFF2-40B4-BE49-F238E27FC236}">
              <a16:creationId xmlns:a16="http://schemas.microsoft.com/office/drawing/2014/main" id="{59CF4E2D-DB0C-9248-91AC-1664125416F6}"/>
            </a:ext>
          </a:extLst>
        </xdr:cNvPr>
        <xdr:cNvSpPr/>
      </xdr:nvSpPr>
      <xdr:spPr>
        <a:xfrm>
          <a:off x="13543678186" y="9153403"/>
          <a:ext cx="318851" cy="3345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807720</xdr:colOff>
      <xdr:row>76</xdr:row>
      <xdr:rowOff>157480</xdr:rowOff>
    </xdr:from>
    <xdr:to>
      <xdr:col>1</xdr:col>
      <xdr:colOff>797560</xdr:colOff>
      <xdr:row>84</xdr:row>
      <xdr:rowOff>45720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A757680-0A8B-AC46-B759-9A191E7FE239}"/>
            </a:ext>
          </a:extLst>
        </xdr:cNvPr>
        <xdr:cNvCxnSpPr/>
      </xdr:nvCxnSpPr>
      <xdr:spPr>
        <a:xfrm>
          <a:off x="13545503419" y="9409565"/>
          <a:ext cx="816691" cy="15311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119380</xdr:colOff>
      <xdr:row>76</xdr:row>
      <xdr:rowOff>177800</xdr:rowOff>
    </xdr:from>
    <xdr:to>
      <xdr:col>2</xdr:col>
      <xdr:colOff>299720</xdr:colOff>
      <xdr:row>79</xdr:row>
      <xdr:rowOff>193040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7300EA54-3BC4-7D4A-96DD-3C9274046C21}"/>
            </a:ext>
          </a:extLst>
        </xdr:cNvPr>
        <xdr:cNvCxnSpPr>
          <a:stCxn id="67" idx="2"/>
        </xdr:cNvCxnSpPr>
      </xdr:nvCxnSpPr>
      <xdr:spPr>
        <a:xfrm flipH="1">
          <a:off x="13545174408" y="9429885"/>
          <a:ext cx="180340" cy="631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264160</xdr:colOff>
      <xdr:row>77</xdr:row>
      <xdr:rowOff>15240</xdr:rowOff>
    </xdr:from>
    <xdr:to>
      <xdr:col>3</xdr:col>
      <xdr:colOff>782320</xdr:colOff>
      <xdr:row>86</xdr:row>
      <xdr:rowOff>50800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54219FA4-1C20-3F49-9591-0DA01714C1DB}"/>
            </a:ext>
          </a:extLst>
        </xdr:cNvPr>
        <xdr:cNvCxnSpPr/>
      </xdr:nvCxnSpPr>
      <xdr:spPr>
        <a:xfrm>
          <a:off x="13543864957" y="9472687"/>
          <a:ext cx="518160" cy="18838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104140</xdr:colOff>
      <xdr:row>77</xdr:row>
      <xdr:rowOff>35560</xdr:rowOff>
    </xdr:from>
    <xdr:to>
      <xdr:col>4</xdr:col>
      <xdr:colOff>314960</xdr:colOff>
      <xdr:row>80</xdr:row>
      <xdr:rowOff>35560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54CAA6B-5C16-7941-8BBE-D0DD612D5133}"/>
            </a:ext>
          </a:extLst>
        </xdr:cNvPr>
        <xdr:cNvCxnSpPr/>
      </xdr:nvCxnSpPr>
      <xdr:spPr>
        <a:xfrm flipH="1">
          <a:off x="13543505466" y="9493007"/>
          <a:ext cx="210820" cy="6160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619760</xdr:colOff>
      <xdr:row>84</xdr:row>
      <xdr:rowOff>76200</xdr:rowOff>
    </xdr:from>
    <xdr:to>
      <xdr:col>1</xdr:col>
      <xdr:colOff>66040</xdr:colOff>
      <xdr:row>85</xdr:row>
      <xdr:rowOff>142240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D38DD283-4274-E846-8FBF-5C4343A28B9E}"/>
            </a:ext>
          </a:extLst>
        </xdr:cNvPr>
        <xdr:cNvSpPr/>
      </xdr:nvSpPr>
      <xdr:spPr>
        <a:xfrm>
          <a:off x="13546234939" y="10971179"/>
          <a:ext cx="273131" cy="2714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320040</xdr:colOff>
      <xdr:row>85</xdr:row>
      <xdr:rowOff>132080</xdr:rowOff>
    </xdr:from>
    <xdr:to>
      <xdr:col>0</xdr:col>
      <xdr:colOff>680720</xdr:colOff>
      <xdr:row>91</xdr:row>
      <xdr:rowOff>25400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FE5C905-AA2E-554A-94F0-62EF438E2132}"/>
            </a:ext>
          </a:extLst>
        </xdr:cNvPr>
        <xdr:cNvCxnSpPr/>
      </xdr:nvCxnSpPr>
      <xdr:spPr>
        <a:xfrm>
          <a:off x="13546447110" y="11232420"/>
          <a:ext cx="360680" cy="11254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25867</xdr:colOff>
      <xdr:row>85</xdr:row>
      <xdr:rowOff>102811</xdr:rowOff>
    </xdr:from>
    <xdr:to>
      <xdr:col>1</xdr:col>
      <xdr:colOff>213360</xdr:colOff>
      <xdr:row>91</xdr:row>
      <xdr:rowOff>71120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BD9927C-1778-1047-AA7A-856870FF12E2}"/>
            </a:ext>
          </a:extLst>
        </xdr:cNvPr>
        <xdr:cNvCxnSpPr>
          <a:stCxn id="73" idx="3"/>
        </xdr:cNvCxnSpPr>
      </xdr:nvCxnSpPr>
      <xdr:spPr>
        <a:xfrm flipH="1">
          <a:off x="13546087619" y="11203151"/>
          <a:ext cx="187493" cy="120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132080</xdr:colOff>
      <xdr:row>86</xdr:row>
      <xdr:rowOff>45720</xdr:rowOff>
    </xdr:from>
    <xdr:to>
      <xdr:col>3</xdr:col>
      <xdr:colOff>406400</xdr:colOff>
      <xdr:row>87</xdr:row>
      <xdr:rowOff>111760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C424A239-4C12-C549-A31B-DE1DF7256461}"/>
            </a:ext>
          </a:extLst>
        </xdr:cNvPr>
        <xdr:cNvSpPr/>
      </xdr:nvSpPr>
      <xdr:spPr>
        <a:xfrm>
          <a:off x="13544240877" y="11351422"/>
          <a:ext cx="274320" cy="27140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635000</xdr:colOff>
      <xdr:row>87</xdr:row>
      <xdr:rowOff>86360</xdr:rowOff>
    </xdr:from>
    <xdr:to>
      <xdr:col>3</xdr:col>
      <xdr:colOff>167640</xdr:colOff>
      <xdr:row>92</xdr:row>
      <xdr:rowOff>182880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FA2E32A6-6197-7A46-BACC-33B4BE762A54}"/>
            </a:ext>
          </a:extLst>
        </xdr:cNvPr>
        <xdr:cNvCxnSpPr/>
      </xdr:nvCxnSpPr>
      <xdr:spPr>
        <a:xfrm>
          <a:off x="13544479637" y="11597424"/>
          <a:ext cx="359491" cy="11233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340827</xdr:colOff>
      <xdr:row>87</xdr:row>
      <xdr:rowOff>57091</xdr:rowOff>
    </xdr:from>
    <xdr:to>
      <xdr:col>3</xdr:col>
      <xdr:colOff>528320</xdr:colOff>
      <xdr:row>93</xdr:row>
      <xdr:rowOff>25400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DBE4FAEB-1113-284C-8967-79149075C14B}"/>
            </a:ext>
          </a:extLst>
        </xdr:cNvPr>
        <xdr:cNvCxnSpPr/>
      </xdr:nvCxnSpPr>
      <xdr:spPr>
        <a:xfrm flipH="1">
          <a:off x="13544118957" y="11568155"/>
          <a:ext cx="187493" cy="12004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113490</xdr:colOff>
      <xdr:row>78</xdr:row>
      <xdr:rowOff>21617</xdr:rowOff>
    </xdr:from>
    <xdr:to>
      <xdr:col>1</xdr:col>
      <xdr:colOff>221575</xdr:colOff>
      <xdr:row>78</xdr:row>
      <xdr:rowOff>162128</xdr:rowOff>
    </xdr:to>
    <xdr:sp macro="" textlink="">
      <xdr:nvSpPr>
        <xdr:cNvPr id="79" name="Smiley Face 78">
          <a:extLst>
            <a:ext uri="{FF2B5EF4-FFF2-40B4-BE49-F238E27FC236}">
              <a16:creationId xmlns:a16="http://schemas.microsoft.com/office/drawing/2014/main" id="{C3582FFE-2A5E-45C9-F615-41FB4788FFA0}"/>
            </a:ext>
          </a:extLst>
        </xdr:cNvPr>
        <xdr:cNvSpPr/>
      </xdr:nvSpPr>
      <xdr:spPr>
        <a:xfrm>
          <a:off x="13546079404" y="16072255"/>
          <a:ext cx="108085" cy="140511"/>
        </a:xfrm>
        <a:prstGeom prst="smileyFace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383703</xdr:colOff>
      <xdr:row>78</xdr:row>
      <xdr:rowOff>43234</xdr:rowOff>
    </xdr:from>
    <xdr:to>
      <xdr:col>4</xdr:col>
      <xdr:colOff>491788</xdr:colOff>
      <xdr:row>78</xdr:row>
      <xdr:rowOff>183745</xdr:rowOff>
    </xdr:to>
    <xdr:sp macro="" textlink="">
      <xdr:nvSpPr>
        <xdr:cNvPr id="80" name="Smiley Face 79">
          <a:extLst>
            <a:ext uri="{FF2B5EF4-FFF2-40B4-BE49-F238E27FC236}">
              <a16:creationId xmlns:a16="http://schemas.microsoft.com/office/drawing/2014/main" id="{489E300D-97F9-DD84-1FB2-532C30F45AA3}"/>
            </a:ext>
          </a:extLst>
        </xdr:cNvPr>
        <xdr:cNvSpPr/>
      </xdr:nvSpPr>
      <xdr:spPr>
        <a:xfrm>
          <a:off x="13543328638" y="16093872"/>
          <a:ext cx="108085" cy="140511"/>
        </a:xfrm>
        <a:prstGeom prst="smileyFace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15</xdr:col>
      <xdr:colOff>625776</xdr:colOff>
      <xdr:row>23</xdr:row>
      <xdr:rowOff>164384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B2CD250-EB80-3043-8825-39EB591A6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4099288" y="205362"/>
          <a:ext cx="5586882" cy="4682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9C19-B643-564F-BB15-411A4C45C60C}">
  <dimension ref="A1:K45"/>
  <sheetViews>
    <sheetView rightToLeft="1" zoomScale="200" workbookViewId="0">
      <selection activeCell="D30" sqref="D30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5" t="s">
        <v>32</v>
      </c>
      <c r="B1" s="16"/>
      <c r="C1" s="16"/>
      <c r="D1" s="16"/>
      <c r="E1" s="17"/>
    </row>
    <row r="2" spans="1:11" ht="17" thickBot="1" x14ac:dyDescent="0.25">
      <c r="A2" s="18" t="s">
        <v>33</v>
      </c>
      <c r="B2" s="19"/>
      <c r="C2" s="19"/>
      <c r="D2" s="19"/>
      <c r="E2" s="20"/>
      <c r="H2" s="1" t="s">
        <v>31</v>
      </c>
    </row>
    <row r="3" spans="1:11" ht="17" thickBot="1" x14ac:dyDescent="0.25"/>
    <row r="4" spans="1:11" x14ac:dyDescent="0.2">
      <c r="A4" s="21" t="s">
        <v>34</v>
      </c>
      <c r="B4" s="22"/>
    </row>
    <row r="5" spans="1:11" x14ac:dyDescent="0.2">
      <c r="A5" s="23" t="s">
        <v>38</v>
      </c>
      <c r="B5" s="24"/>
      <c r="F5" s="2" t="s">
        <v>0</v>
      </c>
      <c r="I5" s="1" t="s">
        <v>1</v>
      </c>
    </row>
    <row r="6" spans="1:11" x14ac:dyDescent="0.2">
      <c r="A6" s="23" t="s">
        <v>39</v>
      </c>
      <c r="B6" s="24"/>
    </row>
    <row r="7" spans="1:11" x14ac:dyDescent="0.2">
      <c r="A7" s="23" t="s">
        <v>35</v>
      </c>
      <c r="B7" s="24"/>
    </row>
    <row r="8" spans="1:11" x14ac:dyDescent="0.2">
      <c r="A8" s="23" t="s">
        <v>36</v>
      </c>
      <c r="B8" s="24"/>
      <c r="E8" s="12" t="s">
        <v>26</v>
      </c>
      <c r="J8" s="4" t="s">
        <v>28</v>
      </c>
    </row>
    <row r="9" spans="1:11" x14ac:dyDescent="0.2">
      <c r="A9" s="25" t="s">
        <v>37</v>
      </c>
      <c r="B9" s="24"/>
    </row>
    <row r="10" spans="1:11" x14ac:dyDescent="0.2">
      <c r="A10" s="23" t="s">
        <v>40</v>
      </c>
      <c r="B10" s="24"/>
      <c r="E10" s="1" t="s">
        <v>2</v>
      </c>
      <c r="F10" s="2" t="s">
        <v>3</v>
      </c>
    </row>
    <row r="11" spans="1:11" x14ac:dyDescent="0.2">
      <c r="A11" s="23" t="s">
        <v>41</v>
      </c>
      <c r="B11" s="24"/>
      <c r="E11" s="1">
        <v>0.8</v>
      </c>
      <c r="F11" s="2">
        <v>0.2</v>
      </c>
      <c r="J11" s="1" t="s">
        <v>29</v>
      </c>
    </row>
    <row r="12" spans="1:11" x14ac:dyDescent="0.2">
      <c r="A12" s="23" t="s">
        <v>42</v>
      </c>
      <c r="B12" s="24"/>
    </row>
    <row r="13" spans="1:11" x14ac:dyDescent="0.2">
      <c r="A13" s="23" t="s">
        <v>43</v>
      </c>
      <c r="B13" s="24"/>
      <c r="C13" s="11" t="s">
        <v>23</v>
      </c>
      <c r="G13" s="4" t="s">
        <v>24</v>
      </c>
    </row>
    <row r="14" spans="1:11" x14ac:dyDescent="0.2">
      <c r="A14" s="23" t="s">
        <v>44</v>
      </c>
      <c r="B14" s="24"/>
    </row>
    <row r="15" spans="1:11" ht="17" thickBot="1" x14ac:dyDescent="0.25">
      <c r="A15" s="26" t="s">
        <v>45</v>
      </c>
      <c r="B15" s="27"/>
      <c r="I15" s="3" t="s">
        <v>30</v>
      </c>
      <c r="K15" s="7">
        <v>0</v>
      </c>
    </row>
    <row r="17" spans="1:11" x14ac:dyDescent="0.2">
      <c r="A17" s="10" t="s">
        <v>22</v>
      </c>
      <c r="B17" s="9"/>
      <c r="C17" s="3" t="s">
        <v>4</v>
      </c>
      <c r="E17" s="1" t="s">
        <v>20</v>
      </c>
    </row>
    <row r="18" spans="1:11" x14ac:dyDescent="0.2">
      <c r="G18" s="1" t="s">
        <v>4</v>
      </c>
    </row>
    <row r="19" spans="1:11" x14ac:dyDescent="0.2">
      <c r="F19" s="4" t="s">
        <v>21</v>
      </c>
      <c r="H19" s="2" t="s">
        <v>20</v>
      </c>
      <c r="J19" s="4"/>
    </row>
    <row r="22" spans="1:11" x14ac:dyDescent="0.2">
      <c r="E22" s="5">
        <v>-0.6</v>
      </c>
      <c r="H22" s="5">
        <v>-0.6</v>
      </c>
      <c r="J22" s="2" t="s">
        <v>7</v>
      </c>
    </row>
    <row r="23" spans="1:11" x14ac:dyDescent="0.2">
      <c r="J23" s="2">
        <v>0.3</v>
      </c>
    </row>
    <row r="24" spans="1:11" x14ac:dyDescent="0.2">
      <c r="B24" s="1" t="s">
        <v>6</v>
      </c>
      <c r="C24" s="1" t="s">
        <v>7</v>
      </c>
      <c r="I24" s="3" t="s">
        <v>6</v>
      </c>
    </row>
    <row r="25" spans="1:11" x14ac:dyDescent="0.2">
      <c r="B25" s="1">
        <v>0.8</v>
      </c>
      <c r="C25" s="1">
        <v>0.2</v>
      </c>
      <c r="F25" s="1" t="s">
        <v>6</v>
      </c>
      <c r="G25" s="1" t="s">
        <v>7</v>
      </c>
      <c r="I25" s="2">
        <v>0.7</v>
      </c>
    </row>
    <row r="26" spans="1:11" x14ac:dyDescent="0.2">
      <c r="F26" s="1">
        <v>0.3</v>
      </c>
      <c r="G26" s="1">
        <v>0.7</v>
      </c>
      <c r="K26" s="7">
        <v>-2</v>
      </c>
    </row>
    <row r="28" spans="1:11" x14ac:dyDescent="0.2">
      <c r="A28" s="5">
        <f>5-2-0.6</f>
        <v>2.4</v>
      </c>
    </row>
    <row r="29" spans="1:11" x14ac:dyDescent="0.2">
      <c r="C29" s="5">
        <v>-2.6</v>
      </c>
      <c r="F29" s="6">
        <v>2.4</v>
      </c>
      <c r="G29" s="6">
        <v>-2.6</v>
      </c>
      <c r="I29" s="8">
        <v>3</v>
      </c>
    </row>
    <row r="35" spans="1:10" x14ac:dyDescent="0.2">
      <c r="A35" s="4" t="s">
        <v>11</v>
      </c>
    </row>
    <row r="36" spans="1:10" x14ac:dyDescent="0.2">
      <c r="A36" s="1" t="s">
        <v>8</v>
      </c>
      <c r="J36" s="1" t="s">
        <v>9</v>
      </c>
    </row>
    <row r="37" spans="1:10" x14ac:dyDescent="0.2">
      <c r="A37" s="1" t="s">
        <v>10</v>
      </c>
      <c r="J37" s="1" t="s">
        <v>12</v>
      </c>
    </row>
    <row r="39" spans="1:10" x14ac:dyDescent="0.2">
      <c r="A39" s="1" t="s">
        <v>13</v>
      </c>
      <c r="I39" s="2">
        <v>-0.6</v>
      </c>
    </row>
    <row r="41" spans="1:10" x14ac:dyDescent="0.2">
      <c r="A41" s="1" t="s">
        <v>14</v>
      </c>
      <c r="J41" s="1">
        <v>0</v>
      </c>
    </row>
    <row r="43" spans="1:10" x14ac:dyDescent="0.2">
      <c r="A43" s="4" t="s">
        <v>15</v>
      </c>
    </row>
    <row r="44" spans="1:10" x14ac:dyDescent="0.2">
      <c r="A44" s="1" t="s">
        <v>18</v>
      </c>
      <c r="J44" s="1" t="s">
        <v>19</v>
      </c>
    </row>
    <row r="45" spans="1:10" x14ac:dyDescent="0.2">
      <c r="A45" s="1" t="s">
        <v>16</v>
      </c>
      <c r="J45" s="1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14E4-2AAD-3949-BADC-B2CB38E4A537}">
  <dimension ref="A2:N94"/>
  <sheetViews>
    <sheetView showGridLines="0" rightToLeft="1" tabSelected="1" topLeftCell="A62" zoomScale="235" workbookViewId="0">
      <selection activeCell="J2" sqref="J2"/>
    </sheetView>
  </sheetViews>
  <sheetFormatPr baseColWidth="10" defaultRowHeight="16" x14ac:dyDescent="0.2"/>
  <cols>
    <col min="1" max="16384" width="10.83203125" style="28"/>
  </cols>
  <sheetData>
    <row r="2" spans="1:8" x14ac:dyDescent="0.2">
      <c r="A2" s="13" t="s">
        <v>46</v>
      </c>
      <c r="B2" s="14"/>
      <c r="C2" s="14"/>
      <c r="D2" s="14"/>
      <c r="E2" s="14"/>
      <c r="F2" s="14"/>
      <c r="G2" s="14"/>
      <c r="H2" s="14"/>
    </row>
    <row r="4" spans="1:8" x14ac:dyDescent="0.2">
      <c r="A4" s="28" t="s">
        <v>47</v>
      </c>
    </row>
    <row r="5" spans="1:8" x14ac:dyDescent="0.2">
      <c r="A5" s="28" t="s">
        <v>48</v>
      </c>
    </row>
    <row r="6" spans="1:8" x14ac:dyDescent="0.2">
      <c r="A6" s="28" t="s">
        <v>49</v>
      </c>
    </row>
    <row r="8" spans="1:8" x14ac:dyDescent="0.2">
      <c r="A8" s="28" t="s">
        <v>50</v>
      </c>
    </row>
    <row r="9" spans="1:8" x14ac:dyDescent="0.2">
      <c r="A9" s="28" t="s">
        <v>51</v>
      </c>
    </row>
    <row r="11" spans="1:8" x14ac:dyDescent="0.2">
      <c r="A11" s="28" t="s">
        <v>54</v>
      </c>
    </row>
    <row r="12" spans="1:8" x14ac:dyDescent="0.2">
      <c r="A12" s="28" t="s">
        <v>55</v>
      </c>
    </row>
    <row r="14" spans="1:8" x14ac:dyDescent="0.2">
      <c r="A14" s="28" t="s">
        <v>59</v>
      </c>
    </row>
    <row r="16" spans="1:8" x14ac:dyDescent="0.2">
      <c r="A16" s="28" t="s">
        <v>58</v>
      </c>
    </row>
    <row r="17" spans="1:5" x14ac:dyDescent="0.2">
      <c r="B17" s="28" t="s">
        <v>56</v>
      </c>
    </row>
    <row r="18" spans="1:5" x14ac:dyDescent="0.2">
      <c r="B18" s="28" t="s">
        <v>57</v>
      </c>
    </row>
    <row r="20" spans="1:5" x14ac:dyDescent="0.2">
      <c r="A20" s="28" t="s">
        <v>60</v>
      </c>
    </row>
    <row r="21" spans="1:5" x14ac:dyDescent="0.2">
      <c r="B21" s="28" t="s">
        <v>61</v>
      </c>
    </row>
    <row r="22" spans="1:5" x14ac:dyDescent="0.2">
      <c r="B22" s="28" t="s">
        <v>62</v>
      </c>
    </row>
    <row r="23" spans="1:5" x14ac:dyDescent="0.2">
      <c r="C23" s="28" t="s">
        <v>64</v>
      </c>
    </row>
    <row r="24" spans="1:5" x14ac:dyDescent="0.2">
      <c r="C24" s="28" t="s">
        <v>63</v>
      </c>
    </row>
    <row r="25" spans="1:5" x14ac:dyDescent="0.2">
      <c r="D25" s="28" t="s">
        <v>67</v>
      </c>
    </row>
    <row r="26" spans="1:5" x14ac:dyDescent="0.2">
      <c r="E26" s="28" t="s">
        <v>70</v>
      </c>
    </row>
    <row r="27" spans="1:5" x14ac:dyDescent="0.2">
      <c r="E27" s="28" t="s">
        <v>72</v>
      </c>
    </row>
    <row r="28" spans="1:5" x14ac:dyDescent="0.2">
      <c r="D28" s="28" t="s">
        <v>68</v>
      </c>
    </row>
    <row r="29" spans="1:5" x14ac:dyDescent="0.2">
      <c r="C29" s="28" t="s">
        <v>65</v>
      </c>
    </row>
    <row r="30" spans="1:5" x14ac:dyDescent="0.2">
      <c r="D30" s="28" t="s">
        <v>66</v>
      </c>
    </row>
    <row r="31" spans="1:5" x14ac:dyDescent="0.2">
      <c r="E31" s="28" t="s">
        <v>71</v>
      </c>
    </row>
    <row r="32" spans="1:5" x14ac:dyDescent="0.2">
      <c r="E32" s="28" t="s">
        <v>73</v>
      </c>
    </row>
    <row r="33" spans="1:8" x14ac:dyDescent="0.2">
      <c r="D33" s="28" t="s">
        <v>68</v>
      </c>
    </row>
    <row r="34" spans="1:8" ht="17" thickBot="1" x14ac:dyDescent="0.25"/>
    <row r="35" spans="1:8" x14ac:dyDescent="0.2">
      <c r="A35" s="29" t="s">
        <v>74</v>
      </c>
      <c r="B35" s="30"/>
      <c r="C35" s="30"/>
      <c r="D35" s="30"/>
      <c r="E35" s="30"/>
      <c r="F35" s="30"/>
      <c r="G35" s="30"/>
      <c r="H35" s="31"/>
    </row>
    <row r="36" spans="1:8" x14ac:dyDescent="0.2">
      <c r="A36" s="32"/>
      <c r="B36" s="33"/>
      <c r="C36" s="33"/>
      <c r="D36" s="33"/>
      <c r="E36" s="33"/>
      <c r="F36" s="33"/>
      <c r="G36" s="33"/>
      <c r="H36" s="34"/>
    </row>
    <row r="37" spans="1:8" x14ac:dyDescent="0.2">
      <c r="A37" s="32"/>
      <c r="B37" s="33"/>
      <c r="C37" s="33"/>
      <c r="D37" s="33"/>
      <c r="E37" s="33"/>
      <c r="F37" s="33"/>
      <c r="G37" s="33"/>
      <c r="H37" s="34"/>
    </row>
    <row r="38" spans="1:8" x14ac:dyDescent="0.2">
      <c r="A38" s="32"/>
      <c r="B38" s="33"/>
      <c r="C38" s="33"/>
      <c r="D38" s="35" t="s">
        <v>52</v>
      </c>
      <c r="E38" s="33"/>
      <c r="F38" s="36" t="s">
        <v>53</v>
      </c>
      <c r="G38" s="33"/>
      <c r="H38" s="34"/>
    </row>
    <row r="39" spans="1:8" x14ac:dyDescent="0.2">
      <c r="A39" s="32"/>
      <c r="B39" s="33"/>
      <c r="C39" s="33"/>
      <c r="D39" s="33"/>
      <c r="E39" s="33"/>
      <c r="F39" s="33"/>
      <c r="G39" s="33"/>
      <c r="H39" s="34"/>
    </row>
    <row r="40" spans="1:8" x14ac:dyDescent="0.2">
      <c r="A40" s="32"/>
      <c r="B40" s="33"/>
      <c r="C40" s="33"/>
      <c r="D40" s="33"/>
      <c r="E40" s="33"/>
      <c r="F40" s="33"/>
      <c r="G40" s="33"/>
      <c r="H40" s="34"/>
    </row>
    <row r="41" spans="1:8" x14ac:dyDescent="0.2">
      <c r="A41" s="32"/>
      <c r="B41" s="33"/>
      <c r="C41" s="33"/>
      <c r="D41" s="33"/>
      <c r="E41" s="33"/>
      <c r="F41" s="33"/>
      <c r="G41" s="33"/>
      <c r="H41" s="34"/>
    </row>
    <row r="42" spans="1:8" x14ac:dyDescent="0.2">
      <c r="A42" s="32"/>
      <c r="B42" s="33"/>
      <c r="C42" s="35" t="s">
        <v>2</v>
      </c>
      <c r="D42" s="37" t="s">
        <v>3</v>
      </c>
      <c r="E42" s="33"/>
      <c r="F42" s="33"/>
      <c r="G42" s="33"/>
      <c r="H42" s="34"/>
    </row>
    <row r="43" spans="1:8" x14ac:dyDescent="0.2">
      <c r="A43" s="32"/>
      <c r="B43" s="33"/>
      <c r="C43" s="38">
        <v>0.4</v>
      </c>
      <c r="D43" s="39">
        <v>0.6</v>
      </c>
      <c r="E43" s="33"/>
      <c r="F43" s="33"/>
      <c r="G43" s="33"/>
      <c r="H43" s="34"/>
    </row>
    <row r="44" spans="1:8" x14ac:dyDescent="0.2">
      <c r="A44" s="32"/>
      <c r="B44" s="33"/>
      <c r="C44" s="33"/>
      <c r="D44" s="33"/>
      <c r="E44" s="33"/>
      <c r="F44" s="33" t="s">
        <v>4</v>
      </c>
      <c r="G44" s="37" t="s">
        <v>5</v>
      </c>
      <c r="H44" s="34"/>
    </row>
    <row r="45" spans="1:8" x14ac:dyDescent="0.2">
      <c r="A45" s="32"/>
      <c r="B45" s="33"/>
      <c r="C45" s="33"/>
      <c r="D45" s="33"/>
      <c r="E45" s="33"/>
      <c r="F45" s="33"/>
      <c r="G45" s="33"/>
      <c r="H45" s="34"/>
    </row>
    <row r="46" spans="1:8" x14ac:dyDescent="0.2">
      <c r="A46" s="32"/>
      <c r="B46" s="33"/>
      <c r="C46" s="33"/>
      <c r="D46" s="33"/>
      <c r="E46" s="33"/>
      <c r="F46" s="33"/>
      <c r="G46" s="33"/>
      <c r="H46" s="34"/>
    </row>
    <row r="47" spans="1:8" x14ac:dyDescent="0.2">
      <c r="A47" s="32"/>
      <c r="B47" s="33"/>
      <c r="C47" s="33"/>
      <c r="D47" s="33"/>
      <c r="E47" s="33"/>
      <c r="F47" s="33"/>
      <c r="G47" s="33"/>
      <c r="H47" s="34"/>
    </row>
    <row r="48" spans="1:8" x14ac:dyDescent="0.2">
      <c r="A48" s="32"/>
      <c r="B48" s="35" t="s">
        <v>4</v>
      </c>
      <c r="C48" s="33" t="s">
        <v>5</v>
      </c>
      <c r="D48" s="35" t="s">
        <v>4</v>
      </c>
      <c r="E48" s="33" t="s">
        <v>5</v>
      </c>
      <c r="F48" s="33"/>
      <c r="G48" s="37">
        <v>0</v>
      </c>
      <c r="H48" s="34"/>
    </row>
    <row r="49" spans="1:8" x14ac:dyDescent="0.2">
      <c r="A49" s="32"/>
      <c r="B49" s="33"/>
      <c r="C49" s="33"/>
      <c r="D49" s="33"/>
      <c r="E49" s="33"/>
      <c r="F49" s="33"/>
      <c r="G49" s="33"/>
      <c r="H49" s="34"/>
    </row>
    <row r="50" spans="1:8" x14ac:dyDescent="0.2">
      <c r="A50" s="32"/>
      <c r="B50" s="33"/>
      <c r="C50" s="33">
        <v>-0.25</v>
      </c>
      <c r="D50" s="33"/>
      <c r="E50" s="33">
        <v>-0.25</v>
      </c>
      <c r="F50" s="33"/>
      <c r="G50" s="33"/>
      <c r="H50" s="34"/>
    </row>
    <row r="51" spans="1:8" x14ac:dyDescent="0.2">
      <c r="A51" s="32"/>
      <c r="B51" s="33"/>
      <c r="C51" s="33"/>
      <c r="D51" s="33"/>
      <c r="E51" s="33"/>
      <c r="F51" s="37" t="s">
        <v>7</v>
      </c>
      <c r="G51" s="33"/>
      <c r="H51" s="34"/>
    </row>
    <row r="52" spans="1:8" x14ac:dyDescent="0.2">
      <c r="A52" s="32"/>
      <c r="B52" s="33"/>
      <c r="C52" s="33"/>
      <c r="D52" s="33"/>
      <c r="E52" s="33"/>
      <c r="F52" s="33" t="s">
        <v>6</v>
      </c>
      <c r="G52" s="40">
        <v>0.6</v>
      </c>
      <c r="H52" s="34"/>
    </row>
    <row r="53" spans="1:8" x14ac:dyDescent="0.2">
      <c r="A53" s="32"/>
      <c r="B53" s="33"/>
      <c r="C53" s="33"/>
      <c r="D53" s="33"/>
      <c r="E53" s="33"/>
      <c r="F53" s="40">
        <v>0.4</v>
      </c>
      <c r="G53" s="33"/>
      <c r="H53" s="34"/>
    </row>
    <row r="54" spans="1:8" x14ac:dyDescent="0.2">
      <c r="A54" s="32"/>
      <c r="B54" s="33"/>
      <c r="C54" s="33"/>
      <c r="D54" s="33"/>
      <c r="E54" s="33"/>
      <c r="F54" s="33"/>
      <c r="G54" s="33">
        <v>-3</v>
      </c>
      <c r="H54" s="34"/>
    </row>
    <row r="55" spans="1:8" x14ac:dyDescent="0.2">
      <c r="A55" s="32"/>
      <c r="B55" s="33"/>
      <c r="C55" s="33"/>
      <c r="D55" s="33"/>
      <c r="E55" s="33"/>
      <c r="F55" s="33"/>
      <c r="G55" s="33"/>
      <c r="H55" s="34"/>
    </row>
    <row r="56" spans="1:8" x14ac:dyDescent="0.2">
      <c r="A56" s="32"/>
      <c r="B56" s="33"/>
      <c r="C56" s="33"/>
      <c r="D56" s="33"/>
      <c r="E56" s="33"/>
      <c r="F56" s="35">
        <v>4</v>
      </c>
      <c r="G56" s="33"/>
      <c r="H56" s="34"/>
    </row>
    <row r="57" spans="1:8" x14ac:dyDescent="0.2">
      <c r="A57" s="32" t="s">
        <v>6</v>
      </c>
      <c r="B57" s="33" t="s">
        <v>7</v>
      </c>
      <c r="C57" s="33"/>
      <c r="D57" s="33"/>
      <c r="E57" s="33"/>
      <c r="F57" s="33"/>
      <c r="G57" s="33"/>
      <c r="H57" s="34"/>
    </row>
    <row r="58" spans="1:8" x14ac:dyDescent="0.2">
      <c r="A58" s="32">
        <v>0.85</v>
      </c>
      <c r="B58" s="33">
        <v>0.15</v>
      </c>
      <c r="C58" s="37" t="s">
        <v>6</v>
      </c>
      <c r="D58" s="33"/>
      <c r="E58" s="33"/>
      <c r="F58" s="33"/>
      <c r="G58" s="33"/>
      <c r="H58" s="34"/>
    </row>
    <row r="59" spans="1:8" x14ac:dyDescent="0.2">
      <c r="A59" s="32"/>
      <c r="B59" s="33"/>
      <c r="C59" s="37">
        <v>0.1</v>
      </c>
      <c r="D59" s="37" t="s">
        <v>69</v>
      </c>
      <c r="E59" s="33"/>
      <c r="F59" s="33"/>
      <c r="G59" s="33"/>
      <c r="H59" s="34"/>
    </row>
    <row r="60" spans="1:8" x14ac:dyDescent="0.2">
      <c r="A60" s="32"/>
      <c r="B60" s="33"/>
      <c r="C60" s="33"/>
      <c r="D60" s="37">
        <v>0.9</v>
      </c>
      <c r="E60" s="33"/>
      <c r="F60" s="33"/>
      <c r="G60" s="33"/>
      <c r="H60" s="34"/>
    </row>
    <row r="61" spans="1:8" x14ac:dyDescent="0.2">
      <c r="A61" s="32">
        <v>3.75</v>
      </c>
      <c r="B61" s="33">
        <v>-3.25</v>
      </c>
      <c r="C61" s="33"/>
      <c r="D61" s="33"/>
      <c r="E61" s="33"/>
      <c r="F61" s="33"/>
      <c r="G61" s="33"/>
      <c r="H61" s="34"/>
    </row>
    <row r="62" spans="1:8" x14ac:dyDescent="0.2">
      <c r="A62" s="32"/>
      <c r="B62" s="33"/>
      <c r="C62" s="33"/>
      <c r="D62" s="33"/>
      <c r="E62" s="33"/>
      <c r="F62" s="33"/>
      <c r="G62" s="33"/>
      <c r="H62" s="34"/>
    </row>
    <row r="63" spans="1:8" ht="17" thickBot="1" x14ac:dyDescent="0.25">
      <c r="A63" s="41"/>
      <c r="B63" s="42"/>
      <c r="C63" s="43">
        <v>3.75</v>
      </c>
      <c r="D63" s="43">
        <v>-3.25</v>
      </c>
      <c r="E63" s="42"/>
      <c r="F63" s="42"/>
      <c r="G63" s="42"/>
      <c r="H63" s="44"/>
    </row>
    <row r="65" spans="1:14" ht="17" thickBot="1" x14ac:dyDescent="0.25"/>
    <row r="66" spans="1:14" x14ac:dyDescent="0.2">
      <c r="A66" s="29" t="s">
        <v>75</v>
      </c>
      <c r="B66" s="30"/>
      <c r="C66" s="30"/>
      <c r="D66" s="30"/>
      <c r="E66" s="30"/>
      <c r="F66" s="30"/>
      <c r="G66" s="30"/>
      <c r="H66" s="31"/>
      <c r="J66" s="29" t="s">
        <v>86</v>
      </c>
      <c r="K66" s="30"/>
      <c r="L66" s="30"/>
      <c r="M66" s="30"/>
      <c r="N66" s="31"/>
    </row>
    <row r="67" spans="1:14" ht="17" thickBot="1" x14ac:dyDescent="0.25">
      <c r="A67" s="32" t="s">
        <v>76</v>
      </c>
      <c r="B67" s="33"/>
      <c r="C67" s="33"/>
      <c r="D67" s="33"/>
      <c r="E67" s="33"/>
      <c r="F67" s="33"/>
      <c r="G67" s="33"/>
      <c r="H67" s="34"/>
      <c r="J67" s="32" t="s">
        <v>87</v>
      </c>
      <c r="K67" s="33"/>
      <c r="L67" s="33"/>
      <c r="M67" s="33">
        <v>0.93</v>
      </c>
      <c r="N67" s="34"/>
    </row>
    <row r="68" spans="1:14" x14ac:dyDescent="0.2">
      <c r="A68" s="32" t="s">
        <v>77</v>
      </c>
      <c r="B68" s="33"/>
      <c r="C68" s="48" t="s">
        <v>25</v>
      </c>
      <c r="D68" s="33"/>
      <c r="E68" s="33"/>
      <c r="F68" s="33"/>
      <c r="G68" s="50" t="s">
        <v>25</v>
      </c>
      <c r="H68" s="34"/>
      <c r="J68" s="32" t="s">
        <v>88</v>
      </c>
      <c r="K68" s="33"/>
      <c r="L68" s="33"/>
      <c r="M68" s="33"/>
      <c r="N68" s="34"/>
    </row>
    <row r="69" spans="1:14" ht="17" thickBot="1" x14ac:dyDescent="0.25">
      <c r="A69" s="32"/>
      <c r="B69" s="33"/>
      <c r="C69" s="49">
        <f>0.4*2.7+0.6*(-0.25)</f>
        <v>0.93</v>
      </c>
      <c r="D69" s="35" t="s">
        <v>52</v>
      </c>
      <c r="E69" s="33"/>
      <c r="F69" s="36" t="s">
        <v>53</v>
      </c>
      <c r="G69" s="51">
        <v>0</v>
      </c>
      <c r="H69" s="34"/>
      <c r="J69" s="32" t="s">
        <v>89</v>
      </c>
      <c r="K69" s="33"/>
      <c r="L69" s="33"/>
      <c r="M69" s="33">
        <f>0.93+0.25</f>
        <v>1.1800000000000002</v>
      </c>
      <c r="N69" s="34" t="s">
        <v>90</v>
      </c>
    </row>
    <row r="70" spans="1:14" x14ac:dyDescent="0.2">
      <c r="A70" s="32"/>
      <c r="B70" s="33"/>
      <c r="C70" s="33"/>
      <c r="D70" s="33"/>
      <c r="E70" s="33"/>
      <c r="F70" s="33"/>
      <c r="G70" s="33"/>
      <c r="H70" s="34"/>
      <c r="J70" s="32"/>
      <c r="K70" s="33"/>
      <c r="L70" s="33"/>
      <c r="M70" s="33"/>
      <c r="N70" s="34"/>
    </row>
    <row r="71" spans="1:14" x14ac:dyDescent="0.2">
      <c r="A71" s="32"/>
      <c r="B71" s="33"/>
      <c r="C71" s="33"/>
      <c r="D71" s="33"/>
      <c r="E71" s="33"/>
      <c r="F71" s="33"/>
      <c r="G71" s="33"/>
      <c r="H71" s="34"/>
      <c r="J71" s="32" t="s">
        <v>91</v>
      </c>
      <c r="K71" s="33"/>
      <c r="L71" s="33"/>
      <c r="M71" s="33"/>
      <c r="N71" s="34"/>
    </row>
    <row r="72" spans="1:14" x14ac:dyDescent="0.2">
      <c r="A72" s="32"/>
      <c r="B72" s="33"/>
      <c r="C72" s="33"/>
      <c r="D72" s="33"/>
      <c r="E72" s="33"/>
      <c r="F72" s="33"/>
      <c r="G72" s="33"/>
      <c r="H72" s="34"/>
      <c r="J72" s="32" t="s">
        <v>92</v>
      </c>
      <c r="K72" s="33"/>
      <c r="L72" s="33"/>
      <c r="M72" s="33">
        <v>1.18</v>
      </c>
      <c r="N72" s="34"/>
    </row>
    <row r="73" spans="1:14" x14ac:dyDescent="0.2">
      <c r="A73" s="32"/>
      <c r="C73" s="35" t="s">
        <v>2</v>
      </c>
      <c r="D73" s="37" t="s">
        <v>3</v>
      </c>
      <c r="F73" s="33"/>
      <c r="G73" s="33"/>
      <c r="H73" s="34"/>
      <c r="J73" s="32" t="s">
        <v>93</v>
      </c>
      <c r="K73" s="33"/>
      <c r="L73" s="33"/>
      <c r="M73" s="33">
        <v>0</v>
      </c>
      <c r="N73" s="34"/>
    </row>
    <row r="74" spans="1:14" x14ac:dyDescent="0.2">
      <c r="A74" s="32"/>
      <c r="B74" s="33"/>
      <c r="C74" s="38">
        <v>0.4</v>
      </c>
      <c r="D74" s="39">
        <v>0.6</v>
      </c>
      <c r="E74" s="33"/>
      <c r="F74" s="33"/>
      <c r="G74" s="33"/>
      <c r="H74" s="34"/>
      <c r="J74" s="32" t="s">
        <v>94</v>
      </c>
      <c r="K74" s="33"/>
      <c r="L74" s="33"/>
      <c r="M74" s="57">
        <f>M72-M73</f>
        <v>1.18</v>
      </c>
      <c r="N74" s="34" t="s">
        <v>95</v>
      </c>
    </row>
    <row r="75" spans="1:14" ht="17" thickBot="1" x14ac:dyDescent="0.25">
      <c r="A75" s="32"/>
      <c r="B75" s="33"/>
      <c r="C75" s="33"/>
      <c r="D75" s="33"/>
      <c r="E75" s="33"/>
      <c r="F75" s="33" t="s">
        <v>4</v>
      </c>
      <c r="G75" s="37" t="s">
        <v>5</v>
      </c>
      <c r="H75" s="34"/>
      <c r="J75" s="41"/>
      <c r="K75" s="42"/>
      <c r="L75" s="42"/>
      <c r="M75" s="19" t="s">
        <v>96</v>
      </c>
      <c r="N75" s="44"/>
    </row>
    <row r="76" spans="1:14" x14ac:dyDescent="0.2">
      <c r="A76" s="32"/>
      <c r="B76" s="46" t="s">
        <v>78</v>
      </c>
      <c r="C76" s="33"/>
      <c r="D76" s="33"/>
      <c r="E76" s="33"/>
      <c r="F76" s="47" t="s">
        <v>27</v>
      </c>
      <c r="G76" s="47" t="s">
        <v>80</v>
      </c>
      <c r="H76" s="34"/>
    </row>
    <row r="77" spans="1:14" x14ac:dyDescent="0.2">
      <c r="A77" s="32"/>
      <c r="B77" s="33"/>
      <c r="C77" s="33"/>
      <c r="D77" s="33"/>
      <c r="E77" s="47" t="s">
        <v>79</v>
      </c>
      <c r="F77" s="47">
        <f>0.4*4+0.6*-3</f>
        <v>-0.19999999999999973</v>
      </c>
      <c r="G77" s="33"/>
      <c r="H77" s="34"/>
      <c r="J77" s="28" t="s">
        <v>97</v>
      </c>
    </row>
    <row r="78" spans="1:14" x14ac:dyDescent="0.2">
      <c r="A78" s="32"/>
      <c r="B78" s="33"/>
      <c r="C78" s="33"/>
      <c r="D78" s="33"/>
      <c r="E78" s="33"/>
      <c r="F78" s="33"/>
      <c r="G78" s="33"/>
      <c r="H78" s="34"/>
      <c r="J78" s="28" t="s">
        <v>98</v>
      </c>
    </row>
    <row r="79" spans="1:14" x14ac:dyDescent="0.2">
      <c r="A79" s="45" t="s">
        <v>25</v>
      </c>
      <c r="B79" s="35" t="s">
        <v>4</v>
      </c>
      <c r="C79" s="33" t="s">
        <v>5</v>
      </c>
      <c r="D79" s="35" t="s">
        <v>4</v>
      </c>
      <c r="E79" s="33" t="s">
        <v>5</v>
      </c>
      <c r="F79" s="33"/>
      <c r="G79" s="37">
        <v>0</v>
      </c>
      <c r="H79" s="34"/>
      <c r="J79" s="28" t="s">
        <v>99</v>
      </c>
    </row>
    <row r="80" spans="1:14" x14ac:dyDescent="0.2">
      <c r="A80" s="45">
        <f>0.85*3.75+0.15*-3.25</f>
        <v>2.7</v>
      </c>
      <c r="B80" s="33"/>
      <c r="C80" s="33"/>
      <c r="D80" s="46" t="s">
        <v>25</v>
      </c>
      <c r="E80" s="33"/>
      <c r="F80" s="33"/>
      <c r="G80" s="33"/>
      <c r="H80" s="34"/>
      <c r="J80" s="28" t="s">
        <v>100</v>
      </c>
    </row>
    <row r="81" spans="1:10" x14ac:dyDescent="0.2">
      <c r="A81" s="32"/>
      <c r="B81" s="33"/>
      <c r="C81" s="46">
        <v>-0.25</v>
      </c>
      <c r="D81" s="46">
        <f>0.1*3.75+0.9*-3.25</f>
        <v>-2.5500000000000003</v>
      </c>
      <c r="E81" s="46">
        <v>-0.25</v>
      </c>
      <c r="F81" s="33"/>
      <c r="G81" s="33"/>
      <c r="H81" s="34"/>
      <c r="J81" s="28" t="s">
        <v>101</v>
      </c>
    </row>
    <row r="82" spans="1:10" x14ac:dyDescent="0.2">
      <c r="A82" s="32"/>
      <c r="B82" s="33"/>
      <c r="C82" s="46" t="s">
        <v>27</v>
      </c>
      <c r="D82" s="33"/>
      <c r="E82" s="46" t="s">
        <v>27</v>
      </c>
      <c r="F82" s="37" t="s">
        <v>7</v>
      </c>
      <c r="G82" s="33"/>
      <c r="H82" s="34"/>
    </row>
    <row r="83" spans="1:10" x14ac:dyDescent="0.2">
      <c r="A83" s="32"/>
      <c r="B83" s="33"/>
      <c r="C83" s="33"/>
      <c r="D83" s="33"/>
      <c r="E83" s="33"/>
      <c r="F83" s="33" t="s">
        <v>6</v>
      </c>
      <c r="G83" s="40">
        <v>0.6</v>
      </c>
      <c r="H83" s="34"/>
    </row>
    <row r="84" spans="1:10" x14ac:dyDescent="0.2">
      <c r="A84" s="32"/>
      <c r="B84" s="33"/>
      <c r="C84" s="33"/>
      <c r="D84" s="33"/>
      <c r="E84" s="33"/>
      <c r="F84" s="40">
        <v>0.4</v>
      </c>
      <c r="G84" s="33"/>
      <c r="H84" s="34"/>
    </row>
    <row r="85" spans="1:10" x14ac:dyDescent="0.2">
      <c r="A85" s="32"/>
      <c r="B85" s="33"/>
      <c r="C85" s="33"/>
      <c r="D85" s="33"/>
      <c r="E85" s="33"/>
      <c r="F85" s="33"/>
      <c r="G85" s="33">
        <v>-3</v>
      </c>
      <c r="H85" s="34"/>
    </row>
    <row r="86" spans="1:10" x14ac:dyDescent="0.2">
      <c r="A86" s="32"/>
      <c r="B86" s="33"/>
      <c r="C86" s="33"/>
      <c r="D86" s="33"/>
      <c r="E86" s="33"/>
      <c r="F86" s="33"/>
      <c r="G86" s="33"/>
      <c r="H86" s="34"/>
    </row>
    <row r="87" spans="1:10" x14ac:dyDescent="0.2">
      <c r="A87" s="32"/>
      <c r="B87" s="33"/>
      <c r="C87" s="33"/>
      <c r="D87" s="33"/>
      <c r="E87" s="33"/>
      <c r="F87" s="35">
        <v>4</v>
      </c>
      <c r="G87" s="33"/>
      <c r="H87" s="34"/>
    </row>
    <row r="88" spans="1:10" x14ac:dyDescent="0.2">
      <c r="A88" s="32" t="s">
        <v>6</v>
      </c>
      <c r="B88" s="33" t="s">
        <v>7</v>
      </c>
      <c r="C88" s="33"/>
      <c r="D88" s="33"/>
      <c r="E88" s="33"/>
      <c r="F88" s="33"/>
      <c r="G88" s="33"/>
      <c r="H88" s="34"/>
    </row>
    <row r="89" spans="1:10" ht="17" thickBot="1" x14ac:dyDescent="0.25">
      <c r="A89" s="32">
        <v>0.85</v>
      </c>
      <c r="B89" s="33">
        <v>0.15</v>
      </c>
      <c r="C89" s="37" t="s">
        <v>6</v>
      </c>
      <c r="D89" s="33"/>
      <c r="E89" s="33"/>
      <c r="F89" s="33"/>
      <c r="G89" s="33"/>
      <c r="H89" s="34"/>
    </row>
    <row r="90" spans="1:10" x14ac:dyDescent="0.2">
      <c r="A90" s="32"/>
      <c r="B90" s="33"/>
      <c r="C90" s="37">
        <v>0.1</v>
      </c>
      <c r="D90" s="37" t="s">
        <v>69</v>
      </c>
      <c r="E90" s="33"/>
      <c r="F90" s="33"/>
      <c r="G90" s="54" t="s">
        <v>81</v>
      </c>
      <c r="H90" s="55"/>
    </row>
    <row r="91" spans="1:10" x14ac:dyDescent="0.2">
      <c r="A91" s="32"/>
      <c r="B91" s="33"/>
      <c r="C91" s="33"/>
      <c r="D91" s="37">
        <v>0.9</v>
      </c>
      <c r="E91" s="33"/>
      <c r="F91" s="33"/>
      <c r="G91" s="45" t="s">
        <v>82</v>
      </c>
      <c r="H91" s="52"/>
    </row>
    <row r="92" spans="1:10" x14ac:dyDescent="0.2">
      <c r="A92" s="32">
        <v>3.75</v>
      </c>
      <c r="B92" s="33">
        <v>-3.25</v>
      </c>
      <c r="C92" s="33"/>
      <c r="D92" s="33"/>
      <c r="E92" s="33"/>
      <c r="F92" s="33"/>
      <c r="G92" s="45" t="s">
        <v>83</v>
      </c>
      <c r="H92" s="52"/>
    </row>
    <row r="93" spans="1:10" x14ac:dyDescent="0.2">
      <c r="A93" s="32"/>
      <c r="B93" s="33"/>
      <c r="C93" s="33"/>
      <c r="D93" s="33"/>
      <c r="E93" s="33"/>
      <c r="F93" s="33"/>
      <c r="G93" s="45" t="s">
        <v>84</v>
      </c>
      <c r="H93" s="52"/>
    </row>
    <row r="94" spans="1:10" ht="17" thickBot="1" x14ac:dyDescent="0.25">
      <c r="A94" s="41"/>
      <c r="B94" s="42"/>
      <c r="C94" s="43">
        <v>3.75</v>
      </c>
      <c r="D94" s="43">
        <v>-3.25</v>
      </c>
      <c r="E94" s="42"/>
      <c r="F94" s="42"/>
      <c r="G94" s="56" t="s">
        <v>85</v>
      </c>
      <c r="H94" s="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פרק 3.3 פתרון שאלה 2</vt:lpstr>
      <vt:lpstr>פרק 3.3 פתרון שאלה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2026-08-25T14:41:48Z</dcterms:created>
  <dcterms:modified xsi:type="dcterms:W3CDTF">2026-08-25T16:33:04Z</dcterms:modified>
</cp:coreProperties>
</file>