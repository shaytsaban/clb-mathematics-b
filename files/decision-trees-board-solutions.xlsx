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pac-my.sharepoint.com/personal/shay_tsaban_pac_org_il/Documents/CLB/Mathematics B/"/>
    </mc:Choice>
  </mc:AlternateContent>
  <xr:revisionPtr revIDLastSave="264" documentId="8_{05F423C1-2999-BB4C-A588-CFA0BC35B8D3}" xr6:coauthVersionLast="47" xr6:coauthVersionMax="47" xr10:uidLastSave="{9762F7BC-73B0-9340-BF16-AF24072D5A74}"/>
  <bookViews>
    <workbookView xWindow="0" yWindow="900" windowWidth="50980" windowHeight="30180" activeTab="1" xr2:uid="{01080944-EC09-6C4A-B4A4-DB883115EC4D}"/>
  </bookViews>
  <sheets>
    <sheet name="פתרונות לדוגמא 3.1" sheetId="1" r:id="rId1"/>
    <sheet name="פתרונות לדוגמא 3.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9" i="2" l="1"/>
  <c r="A48" i="2"/>
  <c r="D49" i="2"/>
  <c r="B42" i="2"/>
  <c r="A37" i="2"/>
  <c r="F44" i="2"/>
  <c r="D44" i="2"/>
  <c r="H39" i="2"/>
  <c r="K36" i="2"/>
  <c r="I36" i="2"/>
  <c r="B65" i="1"/>
  <c r="B57" i="1"/>
  <c r="D57" i="1"/>
  <c r="C39" i="1"/>
  <c r="E25" i="1"/>
  <c r="B25" i="1"/>
</calcChain>
</file>

<file path=xl/sharedStrings.xml><?xml version="1.0" encoding="utf-8"?>
<sst xmlns="http://schemas.openxmlformats.org/spreadsheetml/2006/main" count="97" uniqueCount="64">
  <si>
    <t>הכנסות:</t>
  </si>
  <si>
    <t>הוצאות:</t>
  </si>
  <si>
    <t>רווח:</t>
  </si>
  <si>
    <t>הפסד:</t>
  </si>
  <si>
    <t>פונקציית ההסתברות של המשתנה המקרי ״רווח״</t>
  </si>
  <si>
    <t>x</t>
  </si>
  <si>
    <t>כאשר x הוא המשתנה המקרי שמייצג את הרווח:</t>
  </si>
  <si>
    <t>בתרחיש שבו אני בוחר להפעיל את המשאית</t>
  </si>
  <si>
    <t>p(X=x)</t>
  </si>
  <si>
    <t>תוחלת הרווח במצב של תרחיש הפעלת משאית:</t>
  </si>
  <si>
    <t xml:space="preserve">E(x) = 0.6 * 1.1 + 0.4 * (-0.2) </t>
  </si>
  <si>
    <t xml:space="preserve">E(x) = </t>
  </si>
  <si>
    <t>E(x) = 0.58</t>
  </si>
  <si>
    <t>E(x) = 0</t>
  </si>
  <si>
    <t>הנחת ברירת המחדל 
שלנו, אלא אם נאמר אחרת,
זה שפועלים לפי
התוחלת.
ואם התוחלת מהפעלת
המשאית גבוהה יותר,
זו התהיה העדפתנו.</t>
  </si>
  <si>
    <t>ערך ההחלטה: הערך של מה שכדאי לבחור</t>
  </si>
  <si>
    <t>כאן: כדאי לפתוח, התוחלת 0.58, לכן ערך ההחלטה: 0.58</t>
  </si>
  <si>
    <t>משאית קיץ</t>
  </si>
  <si>
    <t>הוצאה לאור</t>
  </si>
  <si>
    <t>הכנסות</t>
  </si>
  <si>
    <t>הוצאות</t>
  </si>
  <si>
    <t>רווח</t>
  </si>
  <si>
    <t>רווח (x)</t>
  </si>
  <si>
    <t>הפסד</t>
  </si>
  <si>
    <t xml:space="preserve">הוצאות </t>
  </si>
  <si>
    <t>E(x) = 0.35 * 1.2 + 0.65 * (-0.5)</t>
  </si>
  <si>
    <t>E(x) = 0.095</t>
  </si>
  <si>
    <t xml:space="preserve">כברירת מחדל, פעולה לפי </t>
  </si>
  <si>
    <t>כלל התוחלת תקבע</t>
  </si>
  <si>
    <t>שנעדיף להדפיס מאשר</t>
  </si>
  <si>
    <t>לא להדפיס - התוחלת בהדפסה</t>
  </si>
  <si>
    <t>שהיא 0.095 גבוהה יותר מהתוחלת</t>
  </si>
  <si>
    <t xml:space="preserve">של אי הדפסה שהינה 0. </t>
  </si>
  <si>
    <t>ערך ההחלטה 0.095</t>
  </si>
  <si>
    <t>באופן כללי:</t>
  </si>
  <si>
    <t>אם אני שוקל כדאיות של יועץ כלכלי שיעזור לי להחליט מה הסיכויים</t>
  </si>
  <si>
    <t>של הפרויקט, כמובן שההחלטה הזו (להביא יועץ / לא להביא) תבוצע</t>
  </si>
  <si>
    <t xml:space="preserve">לפני ההחלטה על ביצוע הפרויקט עצמו. </t>
  </si>
  <si>
    <t>זה אומר שקיום ההצעה של היועץ יוצרת עבורי צומת החלטה נוסף, התחלתי.</t>
  </si>
  <si>
    <t>תוחלת במצב של פתיחה, ללא יועץ:</t>
  </si>
  <si>
    <t xml:space="preserve">0.6 * 2 + 0.4 * (-1.2) = </t>
  </si>
  <si>
    <t>הפסד: 0.08-</t>
  </si>
  <si>
    <t>עלות היועץ</t>
  </si>
  <si>
    <t>רווח בהצלחה:</t>
  </si>
  <si>
    <t>עלות יועץ:</t>
  </si>
  <si>
    <t>רווח סופי:</t>
  </si>
  <si>
    <t xml:space="preserve">הפסד בכשלון: </t>
  </si>
  <si>
    <t>הפסד סופי:</t>
  </si>
  <si>
    <t>תוחלת כשההמלצה בעד</t>
  </si>
  <si>
    <t>ופותחים:</t>
  </si>
  <si>
    <t>תוחלת כשההמלצה נגד ופותחים:</t>
  </si>
  <si>
    <t>חושב כך:</t>
  </si>
  <si>
    <t>0.9*1.92+0.1*(-1.28)</t>
  </si>
  <si>
    <t>0.3*1.92+0.7*(-1.28)</t>
  </si>
  <si>
    <t>אופן החישוב:</t>
  </si>
  <si>
    <t>0.5 * 1.6 + 0.5 * (-0.08)</t>
  </si>
  <si>
    <t>סיכומון:</t>
  </si>
  <si>
    <t xml:space="preserve">צד שמאל של העץ - זהה לחלוטין לפתרון התרגיל הבסיסי לפני ההפסקה (ללא יועץ). </t>
  </si>
  <si>
    <t>הוא כולל גם את המלצת היועץ (בעד / נגד):</t>
  </si>
  <si>
    <t>צד ימין הוא הצד המורכב (עם יועץ):</t>
  </si>
  <si>
    <t>גם את ההחלטה שלנו לאחר מכן (לפתוח / לא לפתוח):</t>
  </si>
  <si>
    <t>וגם את סיכויי ההצלחה שמשתנים.</t>
  </si>
  <si>
    <t xml:space="preserve">מחשבים בצד ימין מלמטה למעלה את התוחלת של כל מצב אפשרי, וכשמקפלים את העץ למעלה </t>
  </si>
  <si>
    <t>פועלים תמיד תחת הרציונל של הבחירה בגבוה ביותר.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</si>
</sst>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David"/>
    </font>
    <font>
      <b/>
      <sz val="12"/>
      <color theme="1"/>
      <name val="David"/>
    </font>
    <font>
      <sz val="10"/>
      <color theme="1"/>
      <name val="David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0" borderId="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/>
    <xf numFmtId="0" fontId="1" fillId="0" borderId="9" xfId="0" applyFont="1" applyBorder="1"/>
    <xf numFmtId="0" fontId="1" fillId="0" borderId="4" xfId="0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0" fontId="1" fillId="3" borderId="3" xfId="0" applyFont="1" applyFill="1" applyBorder="1"/>
    <xf numFmtId="0" fontId="1" fillId="3" borderId="9" xfId="0" applyFont="1" applyFill="1" applyBorder="1"/>
    <xf numFmtId="0" fontId="1" fillId="3" borderId="4" xfId="0" applyFont="1" applyFill="1" applyBorder="1"/>
    <xf numFmtId="0" fontId="1" fillId="3" borderId="7" xfId="0" applyFont="1" applyFill="1" applyBorder="1"/>
    <xf numFmtId="0" fontId="1" fillId="3" borderId="10" xfId="0" applyFont="1" applyFill="1" applyBorder="1"/>
    <xf numFmtId="0" fontId="1" fillId="3" borderId="8" xfId="0" applyFont="1" applyFill="1" applyBorder="1"/>
    <xf numFmtId="0" fontId="2" fillId="4" borderId="0" xfId="0" applyFont="1" applyFill="1"/>
    <xf numFmtId="0" fontId="3" fillId="3" borderId="0" xfId="0" applyFont="1" applyFill="1" applyAlignment="1">
      <alignment horizontal="right"/>
    </xf>
    <xf numFmtId="0" fontId="3" fillId="3" borderId="0" xfId="0" applyFont="1" applyFill="1" applyAlignment="1">
      <alignment horizontal="center"/>
    </xf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3" borderId="0" xfId="0" applyFont="1" applyFill="1" applyAlignment="1">
      <alignment horizontal="center"/>
    </xf>
    <xf numFmtId="0" fontId="1" fillId="2" borderId="1" xfId="0" applyFont="1" applyFill="1" applyBorder="1"/>
    <xf numFmtId="0" fontId="1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806450</xdr:colOff>
      <xdr:row>7</xdr:row>
      <xdr:rowOff>25400</xdr:rowOff>
    </xdr:from>
    <xdr:to>
      <xdr:col>6</xdr:col>
      <xdr:colOff>552450</xdr:colOff>
      <xdr:row>13</xdr:row>
      <xdr:rowOff>101600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E6A82E2-79E3-D385-755C-F29374DCB2BB}"/>
            </a:ext>
          </a:extLst>
        </xdr:cNvPr>
        <xdr:cNvCxnSpPr/>
      </xdr:nvCxnSpPr>
      <xdr:spPr>
        <a:xfrm flipH="1">
          <a:off x="13519486550" y="1447800"/>
          <a:ext cx="1397000" cy="12954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349250</xdr:colOff>
      <xdr:row>9</xdr:row>
      <xdr:rowOff>101600</xdr:rowOff>
    </xdr:from>
    <xdr:to>
      <xdr:col>6</xdr:col>
      <xdr:colOff>800100</xdr:colOff>
      <xdr:row>11</xdr:row>
      <xdr:rowOff>38100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78B7614-E66F-3E68-B3EC-9ADCC96B0AE8}"/>
            </a:ext>
          </a:extLst>
        </xdr:cNvPr>
        <xdr:cNvSpPr/>
      </xdr:nvSpPr>
      <xdr:spPr>
        <a:xfrm>
          <a:off x="13519238900" y="1930400"/>
          <a:ext cx="127635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לא להפעיל משאית</a:t>
          </a:r>
          <a:endParaRPr lang="en-US" sz="1100"/>
        </a:p>
      </xdr:txBody>
    </xdr:sp>
    <xdr:clientData/>
  </xdr:twoCellAnchor>
  <xdr:twoCellAnchor>
    <xdr:from>
      <xdr:col>4</xdr:col>
      <xdr:colOff>184150</xdr:colOff>
      <xdr:row>4</xdr:row>
      <xdr:rowOff>101600</xdr:rowOff>
    </xdr:from>
    <xdr:to>
      <xdr:col>5</xdr:col>
      <xdr:colOff>0</xdr:colOff>
      <xdr:row>7</xdr:row>
      <xdr:rowOff>76200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6F73D14E-FC46-FB25-5A1B-18CEE290A367}"/>
            </a:ext>
          </a:extLst>
        </xdr:cNvPr>
        <xdr:cNvSpPr/>
      </xdr:nvSpPr>
      <xdr:spPr>
        <a:xfrm>
          <a:off x="13520864500" y="914400"/>
          <a:ext cx="641350" cy="5842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419100</xdr:colOff>
      <xdr:row>7</xdr:row>
      <xdr:rowOff>38100</xdr:rowOff>
    </xdr:from>
    <xdr:to>
      <xdr:col>4</xdr:col>
      <xdr:colOff>196850</xdr:colOff>
      <xdr:row>12</xdr:row>
      <xdr:rowOff>158750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BEAE918-2416-CCBE-01F7-819227FC3EE4}"/>
            </a:ext>
          </a:extLst>
        </xdr:cNvPr>
        <xdr:cNvCxnSpPr/>
      </xdr:nvCxnSpPr>
      <xdr:spPr>
        <a:xfrm>
          <a:off x="13521493150" y="1460500"/>
          <a:ext cx="1428750" cy="11366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514350</xdr:colOff>
      <xdr:row>9</xdr:row>
      <xdr:rowOff>101600</xdr:rowOff>
    </xdr:from>
    <xdr:to>
      <xdr:col>4</xdr:col>
      <xdr:colOff>6350</xdr:colOff>
      <xdr:row>11</xdr:row>
      <xdr:rowOff>38100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95C9859A-858D-D6CA-DEAE-DAF0775372E9}"/>
            </a:ext>
          </a:extLst>
        </xdr:cNvPr>
        <xdr:cNvSpPr/>
      </xdr:nvSpPr>
      <xdr:spPr>
        <a:xfrm>
          <a:off x="13521683650" y="1930400"/>
          <a:ext cx="11430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להפעיל</a:t>
          </a:r>
          <a:r>
            <a:rPr lang="he-IL" sz="1100" baseline="0"/>
            <a:t> משאית</a:t>
          </a:r>
          <a:endParaRPr lang="en-US" sz="1100"/>
        </a:p>
      </xdr:txBody>
    </xdr:sp>
    <xdr:clientData/>
  </xdr:twoCellAnchor>
  <xdr:twoCellAnchor>
    <xdr:from>
      <xdr:col>2</xdr:col>
      <xdr:colOff>76200</xdr:colOff>
      <xdr:row>12</xdr:row>
      <xdr:rowOff>184150</xdr:rowOff>
    </xdr:from>
    <xdr:to>
      <xdr:col>2</xdr:col>
      <xdr:colOff>527050</xdr:colOff>
      <xdr:row>15</xdr:row>
      <xdr:rowOff>12700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60EF331A-109C-4BA6-9F3B-B1C5F9F782BC}"/>
            </a:ext>
          </a:extLst>
        </xdr:cNvPr>
        <xdr:cNvSpPr/>
      </xdr:nvSpPr>
      <xdr:spPr>
        <a:xfrm>
          <a:off x="13522813950" y="2622550"/>
          <a:ext cx="450850" cy="4381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461025</xdr:colOff>
      <xdr:row>14</xdr:row>
      <xdr:rowOff>151734</xdr:rowOff>
    </xdr:from>
    <xdr:to>
      <xdr:col>4</xdr:col>
      <xdr:colOff>12700</xdr:colOff>
      <xdr:row>21</xdr:row>
      <xdr:rowOff>69850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3514EFA-CA22-3CDF-5CF0-D40B6A70BAAE}"/>
            </a:ext>
          </a:extLst>
        </xdr:cNvPr>
        <xdr:cNvCxnSpPr>
          <a:stCxn id="11" idx="3"/>
        </xdr:cNvCxnSpPr>
      </xdr:nvCxnSpPr>
      <xdr:spPr>
        <a:xfrm flipH="1">
          <a:off x="13521677300" y="2996534"/>
          <a:ext cx="1202675" cy="136591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647700</xdr:colOff>
      <xdr:row>14</xdr:row>
      <xdr:rowOff>151734</xdr:rowOff>
    </xdr:from>
    <xdr:to>
      <xdr:col>2</xdr:col>
      <xdr:colOff>142225</xdr:colOff>
      <xdr:row>21</xdr:row>
      <xdr:rowOff>31750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8C84A417-8001-70FE-AB3B-B366F10AA123}"/>
            </a:ext>
          </a:extLst>
        </xdr:cNvPr>
        <xdr:cNvCxnSpPr>
          <a:stCxn id="11" idx="5"/>
        </xdr:cNvCxnSpPr>
      </xdr:nvCxnSpPr>
      <xdr:spPr>
        <a:xfrm>
          <a:off x="13523198775" y="2996534"/>
          <a:ext cx="1145525" cy="132781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</xdr:row>
      <xdr:rowOff>184150</xdr:rowOff>
    </xdr:from>
    <xdr:to>
      <xdr:col>2</xdr:col>
      <xdr:colOff>107950</xdr:colOff>
      <xdr:row>17</xdr:row>
      <xdr:rowOff>95250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14CEC923-9303-830A-2FD0-59D6BC3C5A4F}"/>
            </a:ext>
          </a:extLst>
        </xdr:cNvPr>
        <xdr:cNvSpPr/>
      </xdr:nvSpPr>
      <xdr:spPr>
        <a:xfrm>
          <a:off x="13523233050" y="3232150"/>
          <a:ext cx="93345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קיץ חם</a:t>
          </a:r>
          <a:endParaRPr lang="en-US" sz="1100"/>
        </a:p>
      </xdr:txBody>
    </xdr:sp>
    <xdr:clientData/>
  </xdr:twoCellAnchor>
  <xdr:twoCellAnchor>
    <xdr:from>
      <xdr:col>0</xdr:col>
      <xdr:colOff>812800</xdr:colOff>
      <xdr:row>17</xdr:row>
      <xdr:rowOff>101600</xdr:rowOff>
    </xdr:from>
    <xdr:to>
      <xdr:col>2</xdr:col>
      <xdr:colOff>95250</xdr:colOff>
      <xdr:row>19</xdr:row>
      <xdr:rowOff>38100</xdr:rowOff>
    </xdr:to>
    <xdr:sp macro="" textlink="">
      <xdr:nvSpPr>
        <xdr:cNvPr id="21" name="Rounded Rectangle 20">
          <a:extLst>
            <a:ext uri="{FF2B5EF4-FFF2-40B4-BE49-F238E27FC236}">
              <a16:creationId xmlns:a16="http://schemas.microsoft.com/office/drawing/2014/main" id="{119C6377-7AD8-FC40-4C3C-18FF66E2B94B}"/>
            </a:ext>
          </a:extLst>
        </xdr:cNvPr>
        <xdr:cNvSpPr/>
      </xdr:nvSpPr>
      <xdr:spPr>
        <a:xfrm>
          <a:off x="13523245750" y="3581400"/>
          <a:ext cx="93345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0.6</a:t>
          </a:r>
          <a:endParaRPr lang="en-US" sz="1100"/>
        </a:p>
      </xdr:txBody>
    </xdr:sp>
    <xdr:clientData/>
  </xdr:twoCellAnchor>
  <xdr:twoCellAnchor>
    <xdr:from>
      <xdr:col>2</xdr:col>
      <xdr:colOff>546100</xdr:colOff>
      <xdr:row>15</xdr:row>
      <xdr:rowOff>190500</xdr:rowOff>
    </xdr:from>
    <xdr:to>
      <xdr:col>3</xdr:col>
      <xdr:colOff>654050</xdr:colOff>
      <xdr:row>17</xdr:row>
      <xdr:rowOff>101600</xdr:rowOff>
    </xdr:to>
    <xdr:sp macro="" textlink="">
      <xdr:nvSpPr>
        <xdr:cNvPr id="22" name="Rounded Rectangle 21">
          <a:extLst>
            <a:ext uri="{FF2B5EF4-FFF2-40B4-BE49-F238E27FC236}">
              <a16:creationId xmlns:a16="http://schemas.microsoft.com/office/drawing/2014/main" id="{12E0670C-685D-1A39-4FC5-E523B873BFD8}"/>
            </a:ext>
          </a:extLst>
        </xdr:cNvPr>
        <xdr:cNvSpPr/>
      </xdr:nvSpPr>
      <xdr:spPr>
        <a:xfrm>
          <a:off x="13521861450" y="3238500"/>
          <a:ext cx="93345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קיץ קריר</a:t>
          </a:r>
          <a:endParaRPr lang="en-US" sz="1100"/>
        </a:p>
      </xdr:txBody>
    </xdr:sp>
    <xdr:clientData/>
  </xdr:twoCellAnchor>
  <xdr:twoCellAnchor>
    <xdr:from>
      <xdr:col>2</xdr:col>
      <xdr:colOff>546100</xdr:colOff>
      <xdr:row>17</xdr:row>
      <xdr:rowOff>101600</xdr:rowOff>
    </xdr:from>
    <xdr:to>
      <xdr:col>3</xdr:col>
      <xdr:colOff>654050</xdr:colOff>
      <xdr:row>19</xdr:row>
      <xdr:rowOff>38100</xdr:rowOff>
    </xdr:to>
    <xdr:sp macro="" textlink="">
      <xdr:nvSpPr>
        <xdr:cNvPr id="23" name="Rounded Rectangle 22">
          <a:extLst>
            <a:ext uri="{FF2B5EF4-FFF2-40B4-BE49-F238E27FC236}">
              <a16:creationId xmlns:a16="http://schemas.microsoft.com/office/drawing/2014/main" id="{27175B77-4905-3439-B88D-E1D8FCCE6827}"/>
            </a:ext>
          </a:extLst>
        </xdr:cNvPr>
        <xdr:cNvSpPr/>
      </xdr:nvSpPr>
      <xdr:spPr>
        <a:xfrm>
          <a:off x="13521861450" y="3581400"/>
          <a:ext cx="93345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0.4</a:t>
          </a:r>
          <a:endParaRPr lang="en-US" sz="1100"/>
        </a:p>
      </xdr:txBody>
    </xdr:sp>
    <xdr:clientData/>
  </xdr:twoCellAnchor>
  <xdr:twoCellAnchor>
    <xdr:from>
      <xdr:col>0</xdr:col>
      <xdr:colOff>6351</xdr:colOff>
      <xdr:row>25</xdr:row>
      <xdr:rowOff>3175</xdr:rowOff>
    </xdr:from>
    <xdr:to>
      <xdr:col>5</xdr:col>
      <xdr:colOff>73026</xdr:colOff>
      <xdr:row>26</xdr:row>
      <xdr:rowOff>190500</xdr:rowOff>
    </xdr:to>
    <xdr:sp macro="" textlink="">
      <xdr:nvSpPr>
        <xdr:cNvPr id="24" name="Left Brace 23">
          <a:extLst>
            <a:ext uri="{FF2B5EF4-FFF2-40B4-BE49-F238E27FC236}">
              <a16:creationId xmlns:a16="http://schemas.microsoft.com/office/drawing/2014/main" id="{0332B7CC-BC8C-0F9A-5A60-BF09E27A5A49}"/>
            </a:ext>
          </a:extLst>
        </xdr:cNvPr>
        <xdr:cNvSpPr/>
      </xdr:nvSpPr>
      <xdr:spPr>
        <a:xfrm rot="16200000">
          <a:off x="13522693299" y="3232150"/>
          <a:ext cx="390525" cy="4194175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768348</xdr:colOff>
      <xdr:row>16</xdr:row>
      <xdr:rowOff>206374</xdr:rowOff>
    </xdr:from>
    <xdr:to>
      <xdr:col>8</xdr:col>
      <xdr:colOff>79375</xdr:colOff>
      <xdr:row>18</xdr:row>
      <xdr:rowOff>120647</xdr:rowOff>
    </xdr:to>
    <xdr:sp macro="" textlink="">
      <xdr:nvSpPr>
        <xdr:cNvPr id="25" name="Left Brace 24">
          <a:extLst>
            <a:ext uri="{FF2B5EF4-FFF2-40B4-BE49-F238E27FC236}">
              <a16:creationId xmlns:a16="http://schemas.microsoft.com/office/drawing/2014/main" id="{9BD229B8-9EB2-1866-DAD0-8F72728C6600}"/>
            </a:ext>
          </a:extLst>
        </xdr:cNvPr>
        <xdr:cNvSpPr/>
      </xdr:nvSpPr>
      <xdr:spPr>
        <a:xfrm rot="16200000">
          <a:off x="13519035702" y="2743197"/>
          <a:ext cx="333373" cy="1787527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421821</xdr:colOff>
      <xdr:row>41</xdr:row>
      <xdr:rowOff>99786</xdr:rowOff>
    </xdr:from>
    <xdr:to>
      <xdr:col>3</xdr:col>
      <xdr:colOff>748393</xdr:colOff>
      <xdr:row>42</xdr:row>
      <xdr:rowOff>195036</xdr:rowOff>
    </xdr:to>
    <xdr:sp macro="" textlink="">
      <xdr:nvSpPr>
        <xdr:cNvPr id="26" name="Rounded Rectangle 25">
          <a:extLst>
            <a:ext uri="{FF2B5EF4-FFF2-40B4-BE49-F238E27FC236}">
              <a16:creationId xmlns:a16="http://schemas.microsoft.com/office/drawing/2014/main" id="{8D26E9FD-30F4-3138-92A9-3320DC36D8D3}"/>
            </a:ext>
          </a:extLst>
        </xdr:cNvPr>
        <xdr:cNvSpPr/>
      </xdr:nvSpPr>
      <xdr:spPr>
        <a:xfrm>
          <a:off x="13521767107" y="8590643"/>
          <a:ext cx="326572" cy="29935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145143</xdr:colOff>
      <xdr:row>42</xdr:row>
      <xdr:rowOff>181429</xdr:rowOff>
    </xdr:from>
    <xdr:to>
      <xdr:col>3</xdr:col>
      <xdr:colOff>435429</xdr:colOff>
      <xdr:row>47</xdr:row>
      <xdr:rowOff>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E75530F2-D683-C38F-05C8-735C1CCA364C}"/>
            </a:ext>
          </a:extLst>
        </xdr:cNvPr>
        <xdr:cNvCxnSpPr/>
      </xdr:nvCxnSpPr>
      <xdr:spPr>
        <a:xfrm>
          <a:off x="13522080071" y="8876393"/>
          <a:ext cx="1115786" cy="8391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294822</xdr:colOff>
      <xdr:row>43</xdr:row>
      <xdr:rowOff>72572</xdr:rowOff>
    </xdr:from>
    <xdr:to>
      <xdr:col>3</xdr:col>
      <xdr:colOff>95251</xdr:colOff>
      <xdr:row>44</xdr:row>
      <xdr:rowOff>167821</xdr:rowOff>
    </xdr:to>
    <xdr:sp macro="" textlink="">
      <xdr:nvSpPr>
        <xdr:cNvPr id="29" name="Rounded Rectangle 28">
          <a:extLst>
            <a:ext uri="{FF2B5EF4-FFF2-40B4-BE49-F238E27FC236}">
              <a16:creationId xmlns:a16="http://schemas.microsoft.com/office/drawing/2014/main" id="{A7312F6A-B9B1-4FDA-CA56-605C4E4C5693}"/>
            </a:ext>
          </a:extLst>
        </xdr:cNvPr>
        <xdr:cNvSpPr/>
      </xdr:nvSpPr>
      <xdr:spPr>
        <a:xfrm>
          <a:off x="13522420249" y="8971643"/>
          <a:ext cx="625929" cy="29935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he-IL" sz="1100"/>
            <a:t>להדפיס</a:t>
          </a:r>
          <a:endParaRPr lang="en-US" sz="1100"/>
        </a:p>
      </xdr:txBody>
    </xdr:sp>
    <xdr:clientData/>
  </xdr:twoCellAnchor>
  <xdr:twoCellAnchor>
    <xdr:from>
      <xdr:col>3</xdr:col>
      <xdr:colOff>734786</xdr:colOff>
      <xdr:row>42</xdr:row>
      <xdr:rowOff>195036</xdr:rowOff>
    </xdr:from>
    <xdr:to>
      <xdr:col>5</xdr:col>
      <xdr:colOff>185964</xdr:colOff>
      <xdr:row>46</xdr:row>
      <xdr:rowOff>199571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DFE98A3F-2974-CE9B-73D9-E8623ACED993}"/>
            </a:ext>
          </a:extLst>
        </xdr:cNvPr>
        <xdr:cNvCxnSpPr/>
      </xdr:nvCxnSpPr>
      <xdr:spPr>
        <a:xfrm flipH="1">
          <a:off x="13520678536" y="8890000"/>
          <a:ext cx="1102178" cy="82096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158750</xdr:colOff>
      <xdr:row>43</xdr:row>
      <xdr:rowOff>49894</xdr:rowOff>
    </xdr:from>
    <xdr:to>
      <xdr:col>5</xdr:col>
      <xdr:colOff>117929</xdr:colOff>
      <xdr:row>44</xdr:row>
      <xdr:rowOff>145143</xdr:rowOff>
    </xdr:to>
    <xdr:sp macro="" textlink="">
      <xdr:nvSpPr>
        <xdr:cNvPr id="33" name="Rounded Rectangle 32">
          <a:extLst>
            <a:ext uri="{FF2B5EF4-FFF2-40B4-BE49-F238E27FC236}">
              <a16:creationId xmlns:a16="http://schemas.microsoft.com/office/drawing/2014/main" id="{42679606-50CD-A5F2-1BC6-A57AC0ADDB10}"/>
            </a:ext>
          </a:extLst>
        </xdr:cNvPr>
        <xdr:cNvSpPr/>
      </xdr:nvSpPr>
      <xdr:spPr>
        <a:xfrm>
          <a:off x="13520746571" y="8948965"/>
          <a:ext cx="784679" cy="29935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לא מדפיס</a:t>
          </a:r>
          <a:endParaRPr lang="en-US" sz="1100"/>
        </a:p>
      </xdr:txBody>
    </xdr:sp>
    <xdr:clientData/>
  </xdr:twoCellAnchor>
  <xdr:twoCellAnchor>
    <xdr:from>
      <xdr:col>1</xdr:col>
      <xdr:colOff>684893</xdr:colOff>
      <xdr:row>46</xdr:row>
      <xdr:rowOff>163285</xdr:rowOff>
    </xdr:from>
    <xdr:to>
      <xdr:col>2</xdr:col>
      <xdr:colOff>163286</xdr:colOff>
      <xdr:row>48</xdr:row>
      <xdr:rowOff>58964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D211748-5A13-45AD-BDF4-B55B7B72FAF8}"/>
            </a:ext>
          </a:extLst>
        </xdr:cNvPr>
        <xdr:cNvSpPr/>
      </xdr:nvSpPr>
      <xdr:spPr>
        <a:xfrm>
          <a:off x="13523177714" y="9674678"/>
          <a:ext cx="303893" cy="30389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281214</xdr:colOff>
      <xdr:row>48</xdr:row>
      <xdr:rowOff>4536</xdr:rowOff>
    </xdr:from>
    <xdr:to>
      <xdr:col>1</xdr:col>
      <xdr:colOff>739321</xdr:colOff>
      <xdr:row>53</xdr:row>
      <xdr:rowOff>131536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E22248C3-9DA2-E266-5427-F0703854C821}"/>
            </a:ext>
          </a:extLst>
        </xdr:cNvPr>
        <xdr:cNvCxnSpPr/>
      </xdr:nvCxnSpPr>
      <xdr:spPr>
        <a:xfrm>
          <a:off x="13523427179" y="9924143"/>
          <a:ext cx="1283607" cy="11747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118782</xdr:colOff>
      <xdr:row>48</xdr:row>
      <xdr:rowOff>14460</xdr:rowOff>
    </xdr:from>
    <xdr:to>
      <xdr:col>3</xdr:col>
      <xdr:colOff>258536</xdr:colOff>
      <xdr:row>53</xdr:row>
      <xdr:rowOff>113393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3C846C1F-EFF3-7F3E-D813-2513176EAFEC}"/>
            </a:ext>
          </a:extLst>
        </xdr:cNvPr>
        <xdr:cNvCxnSpPr>
          <a:stCxn id="34" idx="3"/>
        </xdr:cNvCxnSpPr>
      </xdr:nvCxnSpPr>
      <xdr:spPr>
        <a:xfrm flipH="1">
          <a:off x="13522256964" y="9934067"/>
          <a:ext cx="965254" cy="114668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240393</xdr:colOff>
      <xdr:row>48</xdr:row>
      <xdr:rowOff>63500</xdr:rowOff>
    </xdr:from>
    <xdr:to>
      <xdr:col>3</xdr:col>
      <xdr:colOff>40822</xdr:colOff>
      <xdr:row>49</xdr:row>
      <xdr:rowOff>145143</xdr:rowOff>
    </xdr:to>
    <xdr:sp macro="" textlink="">
      <xdr:nvSpPr>
        <xdr:cNvPr id="39" name="Rounded Rectangle 38">
          <a:extLst>
            <a:ext uri="{FF2B5EF4-FFF2-40B4-BE49-F238E27FC236}">
              <a16:creationId xmlns:a16="http://schemas.microsoft.com/office/drawing/2014/main" id="{126B4EFE-F7A2-1235-FB81-D4082B80B786}"/>
            </a:ext>
          </a:extLst>
        </xdr:cNvPr>
        <xdr:cNvSpPr/>
      </xdr:nvSpPr>
      <xdr:spPr>
        <a:xfrm>
          <a:off x="13522474678" y="9983107"/>
          <a:ext cx="625929" cy="29935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חלש</a:t>
          </a:r>
          <a:endParaRPr lang="en-US" sz="1100"/>
        </a:p>
      </xdr:txBody>
    </xdr:sp>
    <xdr:clientData/>
  </xdr:twoCellAnchor>
  <xdr:twoCellAnchor>
    <xdr:from>
      <xdr:col>0</xdr:col>
      <xdr:colOff>752928</xdr:colOff>
      <xdr:row>48</xdr:row>
      <xdr:rowOff>68036</xdr:rowOff>
    </xdr:from>
    <xdr:to>
      <xdr:col>1</xdr:col>
      <xdr:colOff>553357</xdr:colOff>
      <xdr:row>49</xdr:row>
      <xdr:rowOff>149679</xdr:rowOff>
    </xdr:to>
    <xdr:sp macro="" textlink="">
      <xdr:nvSpPr>
        <xdr:cNvPr id="40" name="Rounded Rectangle 39">
          <a:extLst>
            <a:ext uri="{FF2B5EF4-FFF2-40B4-BE49-F238E27FC236}">
              <a16:creationId xmlns:a16="http://schemas.microsoft.com/office/drawing/2014/main" id="{8A4141CF-8E6C-374C-6636-CFBFD79428E8}"/>
            </a:ext>
          </a:extLst>
        </xdr:cNvPr>
        <xdr:cNvSpPr/>
      </xdr:nvSpPr>
      <xdr:spPr>
        <a:xfrm>
          <a:off x="13523613143" y="9987643"/>
          <a:ext cx="625929" cy="29935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הצלחה</a:t>
          </a:r>
          <a:endParaRPr lang="en-US" sz="1100"/>
        </a:p>
      </xdr:txBody>
    </xdr:sp>
    <xdr:clientData/>
  </xdr:twoCellAnchor>
  <xdr:twoCellAnchor>
    <xdr:from>
      <xdr:col>0</xdr:col>
      <xdr:colOff>734786</xdr:colOff>
      <xdr:row>49</xdr:row>
      <xdr:rowOff>172358</xdr:rowOff>
    </xdr:from>
    <xdr:to>
      <xdr:col>1</xdr:col>
      <xdr:colOff>535215</xdr:colOff>
      <xdr:row>51</xdr:row>
      <xdr:rowOff>49893</xdr:rowOff>
    </xdr:to>
    <xdr:sp macro="" textlink="">
      <xdr:nvSpPr>
        <xdr:cNvPr id="41" name="Rounded Rectangle 40">
          <a:extLst>
            <a:ext uri="{FF2B5EF4-FFF2-40B4-BE49-F238E27FC236}">
              <a16:creationId xmlns:a16="http://schemas.microsoft.com/office/drawing/2014/main" id="{E75D0AD5-3DAF-DF3D-2287-58508935B25F}"/>
            </a:ext>
          </a:extLst>
        </xdr:cNvPr>
        <xdr:cNvSpPr/>
      </xdr:nvSpPr>
      <xdr:spPr>
        <a:xfrm>
          <a:off x="13523631285" y="10309679"/>
          <a:ext cx="625929" cy="29935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0.35</a:t>
          </a:r>
          <a:endParaRPr lang="en-US" sz="1100"/>
        </a:p>
      </xdr:txBody>
    </xdr:sp>
    <xdr:clientData/>
  </xdr:twoCellAnchor>
  <xdr:twoCellAnchor>
    <xdr:from>
      <xdr:col>2</xdr:col>
      <xdr:colOff>226786</xdr:colOff>
      <xdr:row>49</xdr:row>
      <xdr:rowOff>176894</xdr:rowOff>
    </xdr:from>
    <xdr:to>
      <xdr:col>3</xdr:col>
      <xdr:colOff>27215</xdr:colOff>
      <xdr:row>51</xdr:row>
      <xdr:rowOff>54429</xdr:rowOff>
    </xdr:to>
    <xdr:sp macro="" textlink="">
      <xdr:nvSpPr>
        <xdr:cNvPr id="44" name="Rounded Rectangle 43">
          <a:extLst>
            <a:ext uri="{FF2B5EF4-FFF2-40B4-BE49-F238E27FC236}">
              <a16:creationId xmlns:a16="http://schemas.microsoft.com/office/drawing/2014/main" id="{5D135A0F-B340-F068-BEAE-01920E81CBAD}"/>
            </a:ext>
          </a:extLst>
        </xdr:cNvPr>
        <xdr:cNvSpPr/>
      </xdr:nvSpPr>
      <xdr:spPr>
        <a:xfrm>
          <a:off x="13522488285" y="10314215"/>
          <a:ext cx="625929" cy="29935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he-IL" sz="1100"/>
            <a:t>0.65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142698</xdr:rowOff>
    </xdr:from>
    <xdr:to>
      <xdr:col>5</xdr:col>
      <xdr:colOff>263989</xdr:colOff>
      <xdr:row>4</xdr:row>
      <xdr:rowOff>126338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4FC3BF-5D9B-D55B-CD72-E69E7E1FB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96611067" y="142698"/>
          <a:ext cx="4384354" cy="797011"/>
        </a:xfrm>
        <a:prstGeom prst="rect">
          <a:avLst/>
        </a:prstGeom>
      </xdr:spPr>
    </xdr:pic>
    <xdr:clientData/>
  </xdr:twoCellAnchor>
  <xdr:twoCellAnchor editAs="oneCell">
    <xdr:from>
      <xdr:col>5</xdr:col>
      <xdr:colOff>342470</xdr:colOff>
      <xdr:row>0</xdr:row>
      <xdr:rowOff>142698</xdr:rowOff>
    </xdr:from>
    <xdr:to>
      <xdr:col>10</xdr:col>
      <xdr:colOff>248050</xdr:colOff>
      <xdr:row>11</xdr:row>
      <xdr:rowOff>105434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14EA1C-EE18-9731-09EA-5D5D9D9B4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96871044" y="142698"/>
          <a:ext cx="4027090" cy="2176849"/>
        </a:xfrm>
        <a:prstGeom prst="rect">
          <a:avLst/>
        </a:prstGeom>
      </xdr:spPr>
    </xdr:pic>
    <xdr:clientData/>
  </xdr:twoCellAnchor>
  <xdr:twoCellAnchor>
    <xdr:from>
      <xdr:col>6</xdr:col>
      <xdr:colOff>129847</xdr:colOff>
      <xdr:row>13</xdr:row>
      <xdr:rowOff>127179</xdr:rowOff>
    </xdr:from>
    <xdr:to>
      <xdr:col>6</xdr:col>
      <xdr:colOff>538314</xdr:colOff>
      <xdr:row>15</xdr:row>
      <xdr:rowOff>83620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C7833FD0-8437-6A26-28D4-2B2D5CF00962}"/>
            </a:ext>
          </a:extLst>
        </xdr:cNvPr>
        <xdr:cNvSpPr/>
      </xdr:nvSpPr>
      <xdr:spPr>
        <a:xfrm>
          <a:off x="13523780534" y="2776932"/>
          <a:ext cx="408467" cy="36409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794801</xdr:colOff>
      <xdr:row>15</xdr:row>
      <xdr:rowOff>37848</xdr:rowOff>
    </xdr:from>
    <xdr:to>
      <xdr:col>5</xdr:col>
      <xdr:colOff>597152</xdr:colOff>
      <xdr:row>18</xdr:row>
      <xdr:rowOff>151391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A29F9EB-8889-22C4-2853-311CDE339761}"/>
            </a:ext>
          </a:extLst>
        </xdr:cNvPr>
        <xdr:cNvCxnSpPr/>
      </xdr:nvCxnSpPr>
      <xdr:spPr>
        <a:xfrm>
          <a:off x="13499603775" y="3065663"/>
          <a:ext cx="1450828" cy="7191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252316</xdr:colOff>
      <xdr:row>16</xdr:row>
      <xdr:rowOff>37848</xdr:rowOff>
    </xdr:from>
    <xdr:to>
      <xdr:col>5</xdr:col>
      <xdr:colOff>277549</xdr:colOff>
      <xdr:row>17</xdr:row>
      <xdr:rowOff>84107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C3EB9EA6-5385-6A38-C778-51F2BB1BCE29}"/>
            </a:ext>
          </a:extLst>
        </xdr:cNvPr>
        <xdr:cNvSpPr/>
      </xdr:nvSpPr>
      <xdr:spPr>
        <a:xfrm>
          <a:off x="13499923378" y="3267517"/>
          <a:ext cx="849471" cy="24811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he-IL" sz="1100">
              <a:latin typeface="David" panose="020E0502060401010101" pitchFamily="34" charset="-79"/>
              <a:cs typeface="David" panose="020E0502060401010101" pitchFamily="34" charset="-79"/>
            </a:rPr>
            <a:t>להביא יועץ</a:t>
          </a:r>
          <a:endParaRPr lang="en-US" sz="1100"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7</xdr:col>
      <xdr:colOff>63080</xdr:colOff>
      <xdr:row>15</xdr:row>
      <xdr:rowOff>29437</xdr:rowOff>
    </xdr:from>
    <xdr:to>
      <xdr:col>8</xdr:col>
      <xdr:colOff>672847</xdr:colOff>
      <xdr:row>19</xdr:row>
      <xdr:rowOff>21026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D6F16C0-8164-150B-B117-3E15105936F3}"/>
            </a:ext>
          </a:extLst>
        </xdr:cNvPr>
        <xdr:cNvCxnSpPr/>
      </xdr:nvCxnSpPr>
      <xdr:spPr>
        <a:xfrm flipH="1">
          <a:off x="13497879603" y="3057252"/>
          <a:ext cx="1434006" cy="7990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382681</xdr:colOff>
      <xdr:row>15</xdr:row>
      <xdr:rowOff>193444</xdr:rowOff>
    </xdr:from>
    <xdr:to>
      <xdr:col>8</xdr:col>
      <xdr:colOff>407913</xdr:colOff>
      <xdr:row>17</xdr:row>
      <xdr:rowOff>37849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3397EC00-6EE9-29F6-9267-564B71952416}"/>
            </a:ext>
          </a:extLst>
        </xdr:cNvPr>
        <xdr:cNvSpPr/>
      </xdr:nvSpPr>
      <xdr:spPr>
        <a:xfrm>
          <a:off x="13498144537" y="3221259"/>
          <a:ext cx="849471" cy="24811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>
              <a:latin typeface="David" panose="020E0502060401010101" pitchFamily="34" charset="-79"/>
              <a:cs typeface="David" panose="020E0502060401010101" pitchFamily="34" charset="-79"/>
            </a:rPr>
            <a:t>ללא יועץ</a:t>
          </a:r>
          <a:endParaRPr lang="en-US" sz="1100"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8</xdr:col>
      <xdr:colOff>639205</xdr:colOff>
      <xdr:row>19</xdr:row>
      <xdr:rowOff>16822</xdr:rowOff>
    </xdr:from>
    <xdr:to>
      <xdr:col>9</xdr:col>
      <xdr:colOff>138775</xdr:colOff>
      <xdr:row>20</xdr:row>
      <xdr:rowOff>142981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E9542482-FB42-C689-5730-0958F6D3F749}"/>
            </a:ext>
          </a:extLst>
        </xdr:cNvPr>
        <xdr:cNvSpPr/>
      </xdr:nvSpPr>
      <xdr:spPr>
        <a:xfrm>
          <a:off x="13497589437" y="3852054"/>
          <a:ext cx="323808" cy="32801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9</xdr:col>
      <xdr:colOff>117749</xdr:colOff>
      <xdr:row>20</xdr:row>
      <xdr:rowOff>117748</xdr:rowOff>
    </xdr:from>
    <xdr:to>
      <xdr:col>10</xdr:col>
      <xdr:colOff>727516</xdr:colOff>
      <xdr:row>24</xdr:row>
      <xdr:rowOff>109337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121A5F32-47A1-1B35-2A2B-7BE3DEFF6105}"/>
            </a:ext>
          </a:extLst>
        </xdr:cNvPr>
        <xdr:cNvCxnSpPr/>
      </xdr:nvCxnSpPr>
      <xdr:spPr>
        <a:xfrm flipH="1">
          <a:off x="13496176457" y="4154834"/>
          <a:ext cx="1434006" cy="7990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365859</xdr:colOff>
      <xdr:row>21</xdr:row>
      <xdr:rowOff>75696</xdr:rowOff>
    </xdr:from>
    <xdr:to>
      <xdr:col>10</xdr:col>
      <xdr:colOff>391091</xdr:colOff>
      <xdr:row>22</xdr:row>
      <xdr:rowOff>121954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F16985B9-AD66-26A0-4C49-5D9037D7834F}"/>
            </a:ext>
          </a:extLst>
        </xdr:cNvPr>
        <xdr:cNvSpPr/>
      </xdr:nvSpPr>
      <xdr:spPr>
        <a:xfrm>
          <a:off x="13496512882" y="4314636"/>
          <a:ext cx="849471" cy="24811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>
              <a:latin typeface="David" panose="020E0502060401010101" pitchFamily="34" charset="-79"/>
              <a:cs typeface="David" panose="020E0502060401010101" pitchFamily="34" charset="-79"/>
            </a:rPr>
            <a:t>לא לפתוח</a:t>
          </a:r>
          <a:endParaRPr lang="en-US" sz="1100"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8</xdr:col>
      <xdr:colOff>433145</xdr:colOff>
      <xdr:row>20</xdr:row>
      <xdr:rowOff>134570</xdr:rowOff>
    </xdr:from>
    <xdr:to>
      <xdr:col>8</xdr:col>
      <xdr:colOff>641308</xdr:colOff>
      <xdr:row>25</xdr:row>
      <xdr:rowOff>21025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DE2C4286-3180-CE00-14F2-5C175F95E26F}"/>
            </a:ext>
          </a:extLst>
        </xdr:cNvPr>
        <xdr:cNvCxnSpPr/>
      </xdr:nvCxnSpPr>
      <xdr:spPr>
        <a:xfrm>
          <a:off x="13497911142" y="4171656"/>
          <a:ext cx="208163" cy="89572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46256</xdr:colOff>
      <xdr:row>21</xdr:row>
      <xdr:rowOff>92517</xdr:rowOff>
    </xdr:from>
    <xdr:to>
      <xdr:col>9</xdr:col>
      <xdr:colOff>71489</xdr:colOff>
      <xdr:row>22</xdr:row>
      <xdr:rowOff>138775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B415F595-F179-C954-AD87-E66E85E82695}"/>
            </a:ext>
          </a:extLst>
        </xdr:cNvPr>
        <xdr:cNvSpPr/>
      </xdr:nvSpPr>
      <xdr:spPr>
        <a:xfrm>
          <a:off x="13497656723" y="4331457"/>
          <a:ext cx="849471" cy="24811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>
              <a:latin typeface="David" panose="020E0502060401010101" pitchFamily="34" charset="-79"/>
              <a:cs typeface="David" panose="020E0502060401010101" pitchFamily="34" charset="-79"/>
            </a:rPr>
            <a:t>לפתוח</a:t>
          </a:r>
          <a:endParaRPr lang="en-US" sz="1100"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8</xdr:col>
      <xdr:colOff>302781</xdr:colOff>
      <xdr:row>25</xdr:row>
      <xdr:rowOff>29437</xdr:rowOff>
    </xdr:from>
    <xdr:to>
      <xdr:col>8</xdr:col>
      <xdr:colOff>529867</xdr:colOff>
      <xdr:row>26</xdr:row>
      <xdr:rowOff>75695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D57A9CDC-C27D-E44E-85B1-E919A0A8F2EB}"/>
            </a:ext>
          </a:extLst>
        </xdr:cNvPr>
        <xdr:cNvSpPr/>
      </xdr:nvSpPr>
      <xdr:spPr>
        <a:xfrm>
          <a:off x="13498022583" y="5075795"/>
          <a:ext cx="227086" cy="24811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8</xdr:col>
      <xdr:colOff>37847</xdr:colOff>
      <xdr:row>26</xdr:row>
      <xdr:rowOff>54669</xdr:rowOff>
    </xdr:from>
    <xdr:to>
      <xdr:col>8</xdr:col>
      <xdr:colOff>346937</xdr:colOff>
      <xdr:row>32</xdr:row>
      <xdr:rowOff>159801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DF9EE99-70B9-4700-8687-5DF5747B68EC}"/>
            </a:ext>
          </a:extLst>
        </xdr:cNvPr>
        <xdr:cNvCxnSpPr/>
      </xdr:nvCxnSpPr>
      <xdr:spPr>
        <a:xfrm>
          <a:off x="13498205513" y="5302881"/>
          <a:ext cx="309090" cy="131625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487813</xdr:colOff>
      <xdr:row>27</xdr:row>
      <xdr:rowOff>42054</xdr:rowOff>
    </xdr:from>
    <xdr:to>
      <xdr:col>8</xdr:col>
      <xdr:colOff>513045</xdr:colOff>
      <xdr:row>28</xdr:row>
      <xdr:rowOff>88312</xdr:rowOff>
    </xdr:to>
    <xdr:sp macro="" textlink="">
      <xdr:nvSpPr>
        <xdr:cNvPr id="24" name="Rounded Rectangle 23">
          <a:extLst>
            <a:ext uri="{FF2B5EF4-FFF2-40B4-BE49-F238E27FC236}">
              <a16:creationId xmlns:a16="http://schemas.microsoft.com/office/drawing/2014/main" id="{93987FE3-518B-DFCB-1255-A19EBD34C376}"/>
            </a:ext>
          </a:extLst>
        </xdr:cNvPr>
        <xdr:cNvSpPr/>
      </xdr:nvSpPr>
      <xdr:spPr>
        <a:xfrm>
          <a:off x="13498039405" y="5492120"/>
          <a:ext cx="849471" cy="24811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>
              <a:latin typeface="David" panose="020E0502060401010101" pitchFamily="34" charset="-79"/>
              <a:cs typeface="David" panose="020E0502060401010101" pitchFamily="34" charset="-79"/>
            </a:rPr>
            <a:t>הצלחה</a:t>
          </a:r>
          <a:endParaRPr lang="en-US" sz="1100"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7</xdr:col>
      <xdr:colOff>487813</xdr:colOff>
      <xdr:row>28</xdr:row>
      <xdr:rowOff>105132</xdr:rowOff>
    </xdr:from>
    <xdr:to>
      <xdr:col>8</xdr:col>
      <xdr:colOff>513045</xdr:colOff>
      <xdr:row>29</xdr:row>
      <xdr:rowOff>151391</xdr:rowOff>
    </xdr:to>
    <xdr:sp macro="" textlink="">
      <xdr:nvSpPr>
        <xdr:cNvPr id="25" name="Rounded Rectangle 24">
          <a:extLst>
            <a:ext uri="{FF2B5EF4-FFF2-40B4-BE49-F238E27FC236}">
              <a16:creationId xmlns:a16="http://schemas.microsoft.com/office/drawing/2014/main" id="{1E4F0AD5-2199-2CD6-7E2E-3A262C3CAA13}"/>
            </a:ext>
          </a:extLst>
        </xdr:cNvPr>
        <xdr:cNvSpPr/>
      </xdr:nvSpPr>
      <xdr:spPr>
        <a:xfrm>
          <a:off x="13498039405" y="5757053"/>
          <a:ext cx="849471" cy="24811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>
              <a:latin typeface="David" panose="020E0502060401010101" pitchFamily="34" charset="-79"/>
              <a:cs typeface="David" panose="020E0502060401010101" pitchFamily="34" charset="-79"/>
            </a:rPr>
            <a:t>0.6</a:t>
          </a:r>
          <a:endParaRPr lang="en-US" sz="1100"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8</xdr:col>
      <xdr:colOff>496611</xdr:colOff>
      <xdr:row>26</xdr:row>
      <xdr:rowOff>39360</xdr:rowOff>
    </xdr:from>
    <xdr:to>
      <xdr:col>10</xdr:col>
      <xdr:colOff>12615</xdr:colOff>
      <xdr:row>32</xdr:row>
      <xdr:rowOff>117748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1CD83FDB-88B4-56D5-464F-0DC27617F4CA}"/>
            </a:ext>
          </a:extLst>
        </xdr:cNvPr>
        <xdr:cNvCxnSpPr>
          <a:stCxn id="21" idx="3"/>
        </xdr:cNvCxnSpPr>
      </xdr:nvCxnSpPr>
      <xdr:spPr>
        <a:xfrm flipH="1">
          <a:off x="13496891358" y="5287572"/>
          <a:ext cx="1164481" cy="128951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740131</xdr:colOff>
      <xdr:row>28</xdr:row>
      <xdr:rowOff>54669</xdr:rowOff>
    </xdr:from>
    <xdr:to>
      <xdr:col>9</xdr:col>
      <xdr:colOff>765364</xdr:colOff>
      <xdr:row>29</xdr:row>
      <xdr:rowOff>100928</xdr:rowOff>
    </xdr:to>
    <xdr:sp macro="" textlink="">
      <xdr:nvSpPr>
        <xdr:cNvPr id="29" name="Rounded Rectangle 28">
          <a:extLst>
            <a:ext uri="{FF2B5EF4-FFF2-40B4-BE49-F238E27FC236}">
              <a16:creationId xmlns:a16="http://schemas.microsoft.com/office/drawing/2014/main" id="{2EB4EA0A-11FB-B23E-582B-F2C58DD505E8}"/>
            </a:ext>
          </a:extLst>
        </xdr:cNvPr>
        <xdr:cNvSpPr/>
      </xdr:nvSpPr>
      <xdr:spPr>
        <a:xfrm>
          <a:off x="13496962848" y="5706590"/>
          <a:ext cx="849471" cy="24811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>
              <a:latin typeface="David" panose="020E0502060401010101" pitchFamily="34" charset="-79"/>
              <a:cs typeface="David" panose="020E0502060401010101" pitchFamily="34" charset="-79"/>
            </a:rPr>
            <a:t>כשלון</a:t>
          </a:r>
          <a:endParaRPr lang="en-US" sz="1100"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8</xdr:col>
      <xdr:colOff>731720</xdr:colOff>
      <xdr:row>29</xdr:row>
      <xdr:rowOff>117748</xdr:rowOff>
    </xdr:from>
    <xdr:to>
      <xdr:col>9</xdr:col>
      <xdr:colOff>756953</xdr:colOff>
      <xdr:row>30</xdr:row>
      <xdr:rowOff>164007</xdr:rowOff>
    </xdr:to>
    <xdr:sp macro="" textlink="">
      <xdr:nvSpPr>
        <xdr:cNvPr id="30" name="Rounded Rectangle 29">
          <a:extLst>
            <a:ext uri="{FF2B5EF4-FFF2-40B4-BE49-F238E27FC236}">
              <a16:creationId xmlns:a16="http://schemas.microsoft.com/office/drawing/2014/main" id="{7474BF1B-9B4F-FDE5-0EFA-22F6E9B19829}"/>
            </a:ext>
          </a:extLst>
        </xdr:cNvPr>
        <xdr:cNvSpPr/>
      </xdr:nvSpPr>
      <xdr:spPr>
        <a:xfrm>
          <a:off x="13496971259" y="5971523"/>
          <a:ext cx="849471" cy="24811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>
              <a:latin typeface="David" panose="020E0502060401010101" pitchFamily="34" charset="-79"/>
              <a:cs typeface="David" panose="020E0502060401010101" pitchFamily="34" charset="-79"/>
            </a:rPr>
            <a:t>0.4</a:t>
          </a:r>
          <a:endParaRPr lang="en-US" sz="1100"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7</xdr:col>
      <xdr:colOff>656565</xdr:colOff>
      <xdr:row>25</xdr:row>
      <xdr:rowOff>25423</xdr:rowOff>
    </xdr:from>
    <xdr:to>
      <xdr:col>8</xdr:col>
      <xdr:colOff>272771</xdr:colOff>
      <xdr:row>26</xdr:row>
      <xdr:rowOff>67095</xdr:rowOff>
    </xdr:to>
    <xdr:sp macro="" textlink="">
      <xdr:nvSpPr>
        <xdr:cNvPr id="32" name="Rounded Rectangle 31">
          <a:extLst>
            <a:ext uri="{FF2B5EF4-FFF2-40B4-BE49-F238E27FC236}">
              <a16:creationId xmlns:a16="http://schemas.microsoft.com/office/drawing/2014/main" id="{3929E8AD-058D-93D2-B31A-A875AFA111BC}"/>
            </a:ext>
          </a:extLst>
        </xdr:cNvPr>
        <xdr:cNvSpPr/>
      </xdr:nvSpPr>
      <xdr:spPr>
        <a:xfrm>
          <a:off x="13499319229" y="5057498"/>
          <a:ext cx="440508" cy="242955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>
              <a:solidFill>
                <a:schemeClr val="tx1"/>
              </a:solidFill>
              <a:latin typeface="David" panose="020E0502060401010101" pitchFamily="34" charset="-79"/>
              <a:cs typeface="David" panose="020E0502060401010101" pitchFamily="34" charset="-79"/>
            </a:rPr>
            <a:t>0.72</a:t>
          </a:r>
          <a:endParaRPr lang="en-US" sz="1100">
            <a:solidFill>
              <a:schemeClr val="tx1"/>
            </a:solidFill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8</xdr:col>
      <xdr:colOff>119811</xdr:colOff>
      <xdr:row>19</xdr:row>
      <xdr:rowOff>44593</xdr:rowOff>
    </xdr:from>
    <xdr:to>
      <xdr:col>8</xdr:col>
      <xdr:colOff>617828</xdr:colOff>
      <xdr:row>20</xdr:row>
      <xdr:rowOff>95849</xdr:rowOff>
    </xdr:to>
    <xdr:sp macro="" textlink="">
      <xdr:nvSpPr>
        <xdr:cNvPr id="33" name="Rounded Rectangle 32">
          <a:extLst>
            <a:ext uri="{FF2B5EF4-FFF2-40B4-BE49-F238E27FC236}">
              <a16:creationId xmlns:a16="http://schemas.microsoft.com/office/drawing/2014/main" id="{B9F68427-1FE1-50A8-B5EC-997587DFF17D}"/>
            </a:ext>
          </a:extLst>
        </xdr:cNvPr>
        <xdr:cNvSpPr/>
      </xdr:nvSpPr>
      <xdr:spPr>
        <a:xfrm>
          <a:off x="13498974172" y="3868970"/>
          <a:ext cx="498017" cy="252539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>
              <a:solidFill>
                <a:schemeClr val="tx1"/>
              </a:solidFill>
              <a:latin typeface="David" panose="020E0502060401010101" pitchFamily="34" charset="-79"/>
              <a:cs typeface="David" panose="020E0502060401010101" pitchFamily="34" charset="-79"/>
            </a:rPr>
            <a:t>0.72</a:t>
          </a:r>
          <a:endParaRPr lang="en-US" sz="1100">
            <a:solidFill>
              <a:schemeClr val="tx1"/>
            </a:solidFill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4</xdr:col>
      <xdr:colOff>2886</xdr:colOff>
      <xdr:row>19</xdr:row>
      <xdr:rowOff>157659</xdr:rowOff>
    </xdr:from>
    <xdr:to>
      <xdr:col>5</xdr:col>
      <xdr:colOff>249208</xdr:colOff>
      <xdr:row>25</xdr:row>
      <xdr:rowOff>43133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1362E2A7-3EB3-7573-AE3A-509A671A14EA}"/>
            </a:ext>
          </a:extLst>
        </xdr:cNvPr>
        <xdr:cNvCxnSpPr/>
      </xdr:nvCxnSpPr>
      <xdr:spPr>
        <a:xfrm flipH="1">
          <a:off x="13500991396" y="3982036"/>
          <a:ext cx="1070623" cy="109317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647837</xdr:colOff>
      <xdr:row>18</xdr:row>
      <xdr:rowOff>158833</xdr:rowOff>
    </xdr:from>
    <xdr:to>
      <xdr:col>4</xdr:col>
      <xdr:colOff>50621</xdr:colOff>
      <xdr:row>20</xdr:row>
      <xdr:rowOff>3808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40067469-B573-020E-5240-357E3EAFA21B}"/>
            </a:ext>
          </a:extLst>
        </xdr:cNvPr>
        <xdr:cNvSpPr/>
      </xdr:nvSpPr>
      <xdr:spPr>
        <a:xfrm>
          <a:off x="13502014284" y="3781927"/>
          <a:ext cx="227086" cy="2475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28754</xdr:colOff>
      <xdr:row>19</xdr:row>
      <xdr:rowOff>133697</xdr:rowOff>
    </xdr:from>
    <xdr:to>
      <xdr:col>3</xdr:col>
      <xdr:colOff>664245</xdr:colOff>
      <xdr:row>24</xdr:row>
      <xdr:rowOff>129397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1EDA3AA2-58C0-D062-97A7-20E43083F5E8}"/>
            </a:ext>
          </a:extLst>
        </xdr:cNvPr>
        <xdr:cNvCxnSpPr/>
      </xdr:nvCxnSpPr>
      <xdr:spPr>
        <a:xfrm>
          <a:off x="13502224962" y="3958074"/>
          <a:ext cx="1459793" cy="10021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367336</xdr:colOff>
      <xdr:row>19</xdr:row>
      <xdr:rowOff>177322</xdr:rowOff>
    </xdr:from>
    <xdr:to>
      <xdr:col>3</xdr:col>
      <xdr:colOff>392568</xdr:colOff>
      <xdr:row>21</xdr:row>
      <xdr:rowOff>196491</xdr:rowOff>
    </xdr:to>
    <xdr:sp macro="" textlink="">
      <xdr:nvSpPr>
        <xdr:cNvPr id="42" name="Rounded Rectangle 41">
          <a:extLst>
            <a:ext uri="{FF2B5EF4-FFF2-40B4-BE49-F238E27FC236}">
              <a16:creationId xmlns:a16="http://schemas.microsoft.com/office/drawing/2014/main" id="{65C9AA41-3A1B-62A1-9779-EFFCE8AD6B53}"/>
            </a:ext>
          </a:extLst>
        </xdr:cNvPr>
        <xdr:cNvSpPr/>
      </xdr:nvSpPr>
      <xdr:spPr>
        <a:xfrm>
          <a:off x="13502496639" y="4001699"/>
          <a:ext cx="849534" cy="42173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he-IL" sz="1100">
              <a:latin typeface="David" panose="020E0502060401010101" pitchFamily="34" charset="-79"/>
              <a:cs typeface="David" panose="020E0502060401010101" pitchFamily="34" charset="-79"/>
            </a:rPr>
            <a:t>המלצה: בעד</a:t>
          </a:r>
          <a:endParaRPr lang="en-US" sz="1100"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4</xdr:col>
      <xdr:colOff>156468</xdr:colOff>
      <xdr:row>19</xdr:row>
      <xdr:rowOff>177322</xdr:rowOff>
    </xdr:from>
    <xdr:to>
      <xdr:col>5</xdr:col>
      <xdr:colOff>181701</xdr:colOff>
      <xdr:row>21</xdr:row>
      <xdr:rowOff>196491</xdr:rowOff>
    </xdr:to>
    <xdr:sp macro="" textlink="">
      <xdr:nvSpPr>
        <xdr:cNvPr id="43" name="Rounded Rectangle 42">
          <a:extLst>
            <a:ext uri="{FF2B5EF4-FFF2-40B4-BE49-F238E27FC236}">
              <a16:creationId xmlns:a16="http://schemas.microsoft.com/office/drawing/2014/main" id="{26E7AF82-A6E4-248C-7552-BD8AC106D9BD}"/>
            </a:ext>
          </a:extLst>
        </xdr:cNvPr>
        <xdr:cNvSpPr/>
      </xdr:nvSpPr>
      <xdr:spPr>
        <a:xfrm>
          <a:off x="13501058903" y="4001699"/>
          <a:ext cx="849534" cy="42173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he-IL" sz="1100">
              <a:latin typeface="David" panose="020E0502060401010101" pitchFamily="34" charset="-79"/>
              <a:cs typeface="David" panose="020E0502060401010101" pitchFamily="34" charset="-79"/>
            </a:rPr>
            <a:t>המלצה: </a:t>
          </a:r>
        </a:p>
        <a:p>
          <a:pPr algn="r" rtl="1"/>
          <a:r>
            <a:rPr lang="he-IL" sz="1100">
              <a:latin typeface="David" panose="020E0502060401010101" pitchFamily="34" charset="-79"/>
              <a:cs typeface="David" panose="020E0502060401010101" pitchFamily="34" charset="-79"/>
            </a:rPr>
            <a:t>נגד</a:t>
          </a:r>
          <a:endParaRPr lang="en-US" sz="1100"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2</xdr:col>
      <xdr:colOff>474453</xdr:colOff>
      <xdr:row>21</xdr:row>
      <xdr:rowOff>200981</xdr:rowOff>
    </xdr:from>
    <xdr:to>
      <xdr:col>3</xdr:col>
      <xdr:colOff>120064</xdr:colOff>
      <xdr:row>23</xdr:row>
      <xdr:rowOff>45957</xdr:rowOff>
    </xdr:to>
    <xdr:sp macro="" textlink="">
      <xdr:nvSpPr>
        <xdr:cNvPr id="47" name="Rounded Rectangle 46">
          <a:extLst>
            <a:ext uri="{FF2B5EF4-FFF2-40B4-BE49-F238E27FC236}">
              <a16:creationId xmlns:a16="http://schemas.microsoft.com/office/drawing/2014/main" id="{84CD85EC-6401-7532-F05E-83CFAF51794B}"/>
            </a:ext>
          </a:extLst>
        </xdr:cNvPr>
        <xdr:cNvSpPr/>
      </xdr:nvSpPr>
      <xdr:spPr>
        <a:xfrm>
          <a:off x="13502769143" y="4427924"/>
          <a:ext cx="469913" cy="24754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>
              <a:latin typeface="David" panose="020E0502060401010101" pitchFamily="34" charset="-79"/>
              <a:cs typeface="David" panose="020E0502060401010101" pitchFamily="34" charset="-79"/>
            </a:rPr>
            <a:t>0.5</a:t>
          </a:r>
          <a:endParaRPr lang="en-US" sz="1100"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4</xdr:col>
      <xdr:colOff>354641</xdr:colOff>
      <xdr:row>22</xdr:row>
      <xdr:rowOff>4491</xdr:rowOff>
    </xdr:from>
    <xdr:to>
      <xdr:col>5</xdr:col>
      <xdr:colOff>253</xdr:colOff>
      <xdr:row>23</xdr:row>
      <xdr:rowOff>50750</xdr:rowOff>
    </xdr:to>
    <xdr:sp macro="" textlink="">
      <xdr:nvSpPr>
        <xdr:cNvPr id="48" name="Rounded Rectangle 47">
          <a:extLst>
            <a:ext uri="{FF2B5EF4-FFF2-40B4-BE49-F238E27FC236}">
              <a16:creationId xmlns:a16="http://schemas.microsoft.com/office/drawing/2014/main" id="{86E1171F-A752-5C6A-E2EF-C05904FCE347}"/>
            </a:ext>
          </a:extLst>
        </xdr:cNvPr>
        <xdr:cNvSpPr/>
      </xdr:nvSpPr>
      <xdr:spPr>
        <a:xfrm>
          <a:off x="13501240351" y="4432717"/>
          <a:ext cx="469913" cy="24754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>
              <a:latin typeface="David" panose="020E0502060401010101" pitchFamily="34" charset="-79"/>
              <a:cs typeface="David" panose="020E0502060401010101" pitchFamily="34" charset="-79"/>
            </a:rPr>
            <a:t>0.5</a:t>
          </a:r>
          <a:endParaRPr lang="en-US" sz="1100"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0</xdr:col>
      <xdr:colOff>662216</xdr:colOff>
      <xdr:row>29</xdr:row>
      <xdr:rowOff>72570</xdr:rowOff>
    </xdr:from>
    <xdr:to>
      <xdr:col>1</xdr:col>
      <xdr:colOff>65000</xdr:colOff>
      <xdr:row>30</xdr:row>
      <xdr:rowOff>118828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AD84AEFA-6319-AB3C-F6D0-866EAAEBB047}"/>
            </a:ext>
          </a:extLst>
        </xdr:cNvPr>
        <xdr:cNvSpPr/>
      </xdr:nvSpPr>
      <xdr:spPr>
        <a:xfrm>
          <a:off x="13504472811" y="5938532"/>
          <a:ext cx="227086" cy="2475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591279</xdr:colOff>
      <xdr:row>24</xdr:row>
      <xdr:rowOff>127049</xdr:rowOff>
    </xdr:from>
    <xdr:to>
      <xdr:col>2</xdr:col>
      <xdr:colOff>90849</xdr:colOff>
      <xdr:row>26</xdr:row>
      <xdr:rowOff>51925</xdr:rowOff>
    </xdr:to>
    <xdr:sp macro="" textlink="">
      <xdr:nvSpPr>
        <xdr:cNvPr id="50" name="Rounded Rectangle 49">
          <a:extLst>
            <a:ext uri="{FF2B5EF4-FFF2-40B4-BE49-F238E27FC236}">
              <a16:creationId xmlns:a16="http://schemas.microsoft.com/office/drawing/2014/main" id="{E8C969ED-2DFD-7779-946C-6F5235891F9E}"/>
            </a:ext>
          </a:extLst>
        </xdr:cNvPr>
        <xdr:cNvSpPr/>
      </xdr:nvSpPr>
      <xdr:spPr>
        <a:xfrm>
          <a:off x="13503622660" y="4957841"/>
          <a:ext cx="323872" cy="32744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5</xdr:col>
      <xdr:colOff>59317</xdr:colOff>
      <xdr:row>25</xdr:row>
      <xdr:rowOff>40785</xdr:rowOff>
    </xdr:from>
    <xdr:to>
      <xdr:col>5</xdr:col>
      <xdr:colOff>383189</xdr:colOff>
      <xdr:row>26</xdr:row>
      <xdr:rowOff>166944</xdr:rowOff>
    </xdr:to>
    <xdr:sp macro="" textlink="">
      <xdr:nvSpPr>
        <xdr:cNvPr id="51" name="Rounded Rectangle 50">
          <a:extLst>
            <a:ext uri="{FF2B5EF4-FFF2-40B4-BE49-F238E27FC236}">
              <a16:creationId xmlns:a16="http://schemas.microsoft.com/office/drawing/2014/main" id="{72DA4FFA-76BF-C72D-06A1-6D1E67CD690F}"/>
            </a:ext>
          </a:extLst>
        </xdr:cNvPr>
        <xdr:cNvSpPr/>
      </xdr:nvSpPr>
      <xdr:spPr>
        <a:xfrm>
          <a:off x="13500857415" y="5072860"/>
          <a:ext cx="323872" cy="32744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33547</xdr:colOff>
      <xdr:row>26</xdr:row>
      <xdr:rowOff>51925</xdr:rowOff>
    </xdr:from>
    <xdr:to>
      <xdr:col>1</xdr:col>
      <xdr:colOff>753215</xdr:colOff>
      <xdr:row>29</xdr:row>
      <xdr:rowOff>95849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1E1171D5-8B31-EDE8-6E43-492CD8420E93}"/>
            </a:ext>
          </a:extLst>
        </xdr:cNvPr>
        <xdr:cNvCxnSpPr>
          <a:stCxn id="50" idx="2"/>
        </xdr:cNvCxnSpPr>
      </xdr:nvCxnSpPr>
      <xdr:spPr>
        <a:xfrm>
          <a:off x="13503784596" y="5285283"/>
          <a:ext cx="719668" cy="67652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156468</xdr:colOff>
      <xdr:row>27</xdr:row>
      <xdr:rowOff>23963</xdr:rowOff>
    </xdr:from>
    <xdr:to>
      <xdr:col>1</xdr:col>
      <xdr:colOff>747622</xdr:colOff>
      <xdr:row>28</xdr:row>
      <xdr:rowOff>81472</xdr:rowOff>
    </xdr:to>
    <xdr:sp macro="" textlink="">
      <xdr:nvSpPr>
        <xdr:cNvPr id="54" name="Rounded Rectangle 53">
          <a:extLst>
            <a:ext uri="{FF2B5EF4-FFF2-40B4-BE49-F238E27FC236}">
              <a16:creationId xmlns:a16="http://schemas.microsoft.com/office/drawing/2014/main" id="{FBFC87D1-B448-F2EC-390F-3AF9EB4B36D7}"/>
            </a:ext>
          </a:extLst>
        </xdr:cNvPr>
        <xdr:cNvSpPr/>
      </xdr:nvSpPr>
      <xdr:spPr>
        <a:xfrm>
          <a:off x="13503790189" y="5472982"/>
          <a:ext cx="591154" cy="27316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he-IL" sz="1100">
              <a:latin typeface="David" panose="020E0502060401010101" pitchFamily="34" charset="-79"/>
              <a:cs typeface="David" panose="020E0502060401010101" pitchFamily="34" charset="-79"/>
            </a:rPr>
            <a:t>לפתוח</a:t>
          </a:r>
          <a:endParaRPr lang="en-US" sz="1100"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0</xdr:col>
      <xdr:colOff>369019</xdr:colOff>
      <xdr:row>30</xdr:row>
      <xdr:rowOff>82576</xdr:rowOff>
    </xdr:from>
    <xdr:to>
      <xdr:col>0</xdr:col>
      <xdr:colOff>695472</xdr:colOff>
      <xdr:row>34</xdr:row>
      <xdr:rowOff>191698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7240B6C7-CEE1-AF43-C073-CF3126B55A5F}"/>
            </a:ext>
          </a:extLst>
        </xdr:cNvPr>
        <xdr:cNvCxnSpPr>
          <a:stCxn id="49" idx="5"/>
        </xdr:cNvCxnSpPr>
      </xdr:nvCxnSpPr>
      <xdr:spPr>
        <a:xfrm>
          <a:off x="13504666641" y="6149821"/>
          <a:ext cx="326453" cy="91425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213977</xdr:colOff>
      <xdr:row>31</xdr:row>
      <xdr:rowOff>76680</xdr:rowOff>
    </xdr:from>
    <xdr:to>
      <xdr:col>0</xdr:col>
      <xdr:colOff>805131</xdr:colOff>
      <xdr:row>32</xdr:row>
      <xdr:rowOff>148566</xdr:rowOff>
    </xdr:to>
    <xdr:sp macro="" textlink="">
      <xdr:nvSpPr>
        <xdr:cNvPr id="58" name="Rounded Rectangle 57">
          <a:extLst>
            <a:ext uri="{FF2B5EF4-FFF2-40B4-BE49-F238E27FC236}">
              <a16:creationId xmlns:a16="http://schemas.microsoft.com/office/drawing/2014/main" id="{6A45C5FD-DAAA-C6E6-92CE-A7A7C8CC9AF1}"/>
            </a:ext>
          </a:extLst>
        </xdr:cNvPr>
        <xdr:cNvSpPr/>
      </xdr:nvSpPr>
      <xdr:spPr>
        <a:xfrm>
          <a:off x="13504556982" y="6345208"/>
          <a:ext cx="591154" cy="27316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he-IL" sz="1100">
              <a:latin typeface="David" panose="020E0502060401010101" pitchFamily="34" charset="-79"/>
              <a:cs typeface="David" panose="020E0502060401010101" pitchFamily="34" charset="-79"/>
            </a:rPr>
            <a:t>הצלחה</a:t>
          </a:r>
          <a:endParaRPr lang="en-US" sz="1100"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0</xdr:col>
      <xdr:colOff>244415</xdr:colOff>
      <xdr:row>32</xdr:row>
      <xdr:rowOff>153056</xdr:rowOff>
    </xdr:from>
    <xdr:to>
      <xdr:col>0</xdr:col>
      <xdr:colOff>714328</xdr:colOff>
      <xdr:row>33</xdr:row>
      <xdr:rowOff>199315</xdr:rowOff>
    </xdr:to>
    <xdr:sp macro="" textlink="">
      <xdr:nvSpPr>
        <xdr:cNvPr id="59" name="Rounded Rectangle 58">
          <a:extLst>
            <a:ext uri="{FF2B5EF4-FFF2-40B4-BE49-F238E27FC236}">
              <a16:creationId xmlns:a16="http://schemas.microsoft.com/office/drawing/2014/main" id="{D4FC5476-57A0-33D2-3CF3-15960E419862}"/>
            </a:ext>
          </a:extLst>
        </xdr:cNvPr>
        <xdr:cNvSpPr/>
      </xdr:nvSpPr>
      <xdr:spPr>
        <a:xfrm>
          <a:off x="13504647785" y="6622867"/>
          <a:ext cx="469913" cy="24754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>
              <a:latin typeface="David" panose="020E0502060401010101" pitchFamily="34" charset="-79"/>
              <a:cs typeface="David" panose="020E0502060401010101" pitchFamily="34" charset="-79"/>
            </a:rPr>
            <a:t>0.9</a:t>
          </a:r>
          <a:endParaRPr lang="en-US" sz="1100"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1</xdr:col>
      <xdr:colOff>31744</xdr:colOff>
      <xdr:row>30</xdr:row>
      <xdr:rowOff>82576</xdr:rowOff>
    </xdr:from>
    <xdr:to>
      <xdr:col>1</xdr:col>
      <xdr:colOff>297132</xdr:colOff>
      <xdr:row>40</xdr:row>
      <xdr:rowOff>9585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D293D6F2-1B3A-E1F2-B250-5A90B791D448}"/>
            </a:ext>
          </a:extLst>
        </xdr:cNvPr>
        <xdr:cNvCxnSpPr>
          <a:stCxn id="49" idx="3"/>
        </xdr:cNvCxnSpPr>
      </xdr:nvCxnSpPr>
      <xdr:spPr>
        <a:xfrm flipH="1">
          <a:off x="13504240679" y="6149821"/>
          <a:ext cx="265388" cy="196859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787596</xdr:colOff>
      <xdr:row>35</xdr:row>
      <xdr:rowOff>13393</xdr:rowOff>
    </xdr:from>
    <xdr:to>
      <xdr:col>1</xdr:col>
      <xdr:colOff>508001</xdr:colOff>
      <xdr:row>36</xdr:row>
      <xdr:rowOff>38341</xdr:rowOff>
    </xdr:to>
    <xdr:sp macro="" textlink="">
      <xdr:nvSpPr>
        <xdr:cNvPr id="63" name="Rounded Rectangle 62">
          <a:extLst>
            <a:ext uri="{FF2B5EF4-FFF2-40B4-BE49-F238E27FC236}">
              <a16:creationId xmlns:a16="http://schemas.microsoft.com/office/drawing/2014/main" id="{769624B7-C9CF-8D6C-E714-0BDA34B767CF}"/>
            </a:ext>
          </a:extLst>
        </xdr:cNvPr>
        <xdr:cNvSpPr/>
      </xdr:nvSpPr>
      <xdr:spPr>
        <a:xfrm>
          <a:off x="13504029810" y="7101431"/>
          <a:ext cx="544707" cy="24060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>
              <a:latin typeface="David" panose="020E0502060401010101" pitchFamily="34" charset="-79"/>
              <a:cs typeface="David" panose="020E0502060401010101" pitchFamily="34" charset="-79"/>
            </a:rPr>
            <a:t>כשלון</a:t>
          </a:r>
          <a:endParaRPr lang="en-US" sz="1100"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0</xdr:col>
      <xdr:colOff>795547</xdr:colOff>
      <xdr:row>36</xdr:row>
      <xdr:rowOff>52414</xdr:rowOff>
    </xdr:from>
    <xdr:to>
      <xdr:col>1</xdr:col>
      <xdr:colOff>441158</xdr:colOff>
      <xdr:row>37</xdr:row>
      <xdr:rowOff>98673</xdr:rowOff>
    </xdr:to>
    <xdr:sp macro="" textlink="">
      <xdr:nvSpPr>
        <xdr:cNvPr id="64" name="Rounded Rectangle 63">
          <a:extLst>
            <a:ext uri="{FF2B5EF4-FFF2-40B4-BE49-F238E27FC236}">
              <a16:creationId xmlns:a16="http://schemas.microsoft.com/office/drawing/2014/main" id="{CAF0D7B7-988F-914D-49DD-28D2BB04EB73}"/>
            </a:ext>
          </a:extLst>
        </xdr:cNvPr>
        <xdr:cNvSpPr/>
      </xdr:nvSpPr>
      <xdr:spPr>
        <a:xfrm>
          <a:off x="13504096653" y="7356112"/>
          <a:ext cx="469913" cy="24754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>
              <a:latin typeface="David" panose="020E0502060401010101" pitchFamily="34" charset="-79"/>
              <a:cs typeface="David" panose="020E0502060401010101" pitchFamily="34" charset="-79"/>
            </a:rPr>
            <a:t>0.1</a:t>
          </a:r>
          <a:endParaRPr lang="en-US" sz="1100"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2</xdr:col>
      <xdr:colOff>91056</xdr:colOff>
      <xdr:row>26</xdr:row>
      <xdr:rowOff>28755</xdr:rowOff>
    </xdr:from>
    <xdr:to>
      <xdr:col>2</xdr:col>
      <xdr:colOff>694905</xdr:colOff>
      <xdr:row>29</xdr:row>
      <xdr:rowOff>158151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3330060B-B041-651D-6A30-460E40DA0239}"/>
            </a:ext>
          </a:extLst>
        </xdr:cNvPr>
        <xdr:cNvCxnSpPr/>
      </xdr:nvCxnSpPr>
      <xdr:spPr>
        <a:xfrm flipH="1">
          <a:off x="13503018604" y="5262113"/>
          <a:ext cx="603849" cy="762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59142</xdr:colOff>
      <xdr:row>27</xdr:row>
      <xdr:rowOff>18186</xdr:rowOff>
    </xdr:from>
    <xdr:to>
      <xdr:col>3</xdr:col>
      <xdr:colOff>84374</xdr:colOff>
      <xdr:row>28</xdr:row>
      <xdr:rowOff>50067</xdr:rowOff>
    </xdr:to>
    <xdr:sp macro="" textlink="">
      <xdr:nvSpPr>
        <xdr:cNvPr id="68" name="Rounded Rectangle 67">
          <a:extLst>
            <a:ext uri="{FF2B5EF4-FFF2-40B4-BE49-F238E27FC236}">
              <a16:creationId xmlns:a16="http://schemas.microsoft.com/office/drawing/2014/main" id="{49FB1875-3601-B710-7C90-CFF01F5B5263}"/>
            </a:ext>
          </a:extLst>
        </xdr:cNvPr>
        <xdr:cNvSpPr/>
      </xdr:nvSpPr>
      <xdr:spPr>
        <a:xfrm>
          <a:off x="13502804833" y="5467205"/>
          <a:ext cx="849534" cy="24754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>
              <a:latin typeface="David" panose="020E0502060401010101" pitchFamily="34" charset="-79"/>
              <a:cs typeface="David" panose="020E0502060401010101" pitchFamily="34" charset="-79"/>
            </a:rPr>
            <a:t>לא לפתוח</a:t>
          </a:r>
          <a:endParaRPr lang="en-US" sz="1100"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3</xdr:col>
      <xdr:colOff>819509</xdr:colOff>
      <xdr:row>26</xdr:row>
      <xdr:rowOff>166944</xdr:rowOff>
    </xdr:from>
    <xdr:to>
      <xdr:col>5</xdr:col>
      <xdr:colOff>221253</xdr:colOff>
      <xdr:row>30</xdr:row>
      <xdr:rowOff>134189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D31E576B-FAC9-1854-8BAA-85D56B4F96E7}"/>
            </a:ext>
          </a:extLst>
        </xdr:cNvPr>
        <xdr:cNvCxnSpPr>
          <a:stCxn id="51" idx="2"/>
        </xdr:cNvCxnSpPr>
      </xdr:nvCxnSpPr>
      <xdr:spPr>
        <a:xfrm>
          <a:off x="13501019351" y="5400302"/>
          <a:ext cx="1050347" cy="80113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199599</xdr:colOff>
      <xdr:row>27</xdr:row>
      <xdr:rowOff>105435</xdr:rowOff>
    </xdr:from>
    <xdr:to>
      <xdr:col>4</xdr:col>
      <xdr:colOff>790753</xdr:colOff>
      <xdr:row>28</xdr:row>
      <xdr:rowOff>162944</xdr:rowOff>
    </xdr:to>
    <xdr:sp macro="" textlink="">
      <xdr:nvSpPr>
        <xdr:cNvPr id="73" name="Rounded Rectangle 72">
          <a:extLst>
            <a:ext uri="{FF2B5EF4-FFF2-40B4-BE49-F238E27FC236}">
              <a16:creationId xmlns:a16="http://schemas.microsoft.com/office/drawing/2014/main" id="{5FC18D24-58BD-B1A6-1997-69C00C46B2A5}"/>
            </a:ext>
          </a:extLst>
        </xdr:cNvPr>
        <xdr:cNvSpPr/>
      </xdr:nvSpPr>
      <xdr:spPr>
        <a:xfrm>
          <a:off x="13501274152" y="5554454"/>
          <a:ext cx="591154" cy="27316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he-IL" sz="1100">
              <a:latin typeface="David" panose="020E0502060401010101" pitchFamily="34" charset="-79"/>
              <a:cs typeface="David" panose="020E0502060401010101" pitchFamily="34" charset="-79"/>
            </a:rPr>
            <a:t>לפתוח</a:t>
          </a:r>
          <a:endParaRPr lang="en-US" sz="1100"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3</xdr:col>
      <xdr:colOff>657423</xdr:colOff>
      <xdr:row>30</xdr:row>
      <xdr:rowOff>182797</xdr:rowOff>
    </xdr:from>
    <xdr:to>
      <xdr:col>4</xdr:col>
      <xdr:colOff>60207</xdr:colOff>
      <xdr:row>32</xdr:row>
      <xdr:rowOff>27772</xdr:rowOff>
    </xdr:to>
    <xdr:sp macro="" textlink="">
      <xdr:nvSpPr>
        <xdr:cNvPr id="74" name="Oval 73">
          <a:extLst>
            <a:ext uri="{FF2B5EF4-FFF2-40B4-BE49-F238E27FC236}">
              <a16:creationId xmlns:a16="http://schemas.microsoft.com/office/drawing/2014/main" id="{4BCEE7B4-3B41-F218-3F80-DBBF24855742}"/>
            </a:ext>
          </a:extLst>
        </xdr:cNvPr>
        <xdr:cNvSpPr/>
      </xdr:nvSpPr>
      <xdr:spPr>
        <a:xfrm>
          <a:off x="13502004698" y="6250042"/>
          <a:ext cx="227086" cy="2475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201282</xdr:colOff>
      <xdr:row>32</xdr:row>
      <xdr:rowOff>29859</xdr:rowOff>
    </xdr:from>
    <xdr:to>
      <xdr:col>3</xdr:col>
      <xdr:colOff>685886</xdr:colOff>
      <xdr:row>40</xdr:row>
      <xdr:rowOff>81472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FA46E0D6-C8C4-61BF-1CE2-21C4AC92B3F8}"/>
            </a:ext>
          </a:extLst>
        </xdr:cNvPr>
        <xdr:cNvCxnSpPr/>
      </xdr:nvCxnSpPr>
      <xdr:spPr>
        <a:xfrm>
          <a:off x="13502203321" y="6499670"/>
          <a:ext cx="484604" cy="169063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204392</xdr:colOff>
      <xdr:row>33</xdr:row>
      <xdr:rowOff>86265</xdr:rowOff>
    </xdr:from>
    <xdr:to>
      <xdr:col>3</xdr:col>
      <xdr:colOff>795546</xdr:colOff>
      <xdr:row>34</xdr:row>
      <xdr:rowOff>158151</xdr:rowOff>
    </xdr:to>
    <xdr:sp macro="" textlink="">
      <xdr:nvSpPr>
        <xdr:cNvPr id="78" name="Rounded Rectangle 77">
          <a:extLst>
            <a:ext uri="{FF2B5EF4-FFF2-40B4-BE49-F238E27FC236}">
              <a16:creationId xmlns:a16="http://schemas.microsoft.com/office/drawing/2014/main" id="{9B7776B7-4166-F573-A859-EB661CBBAD72}"/>
            </a:ext>
          </a:extLst>
        </xdr:cNvPr>
        <xdr:cNvSpPr/>
      </xdr:nvSpPr>
      <xdr:spPr>
        <a:xfrm>
          <a:off x="13502093661" y="6757359"/>
          <a:ext cx="591154" cy="27316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he-IL" sz="1100">
              <a:latin typeface="David" panose="020E0502060401010101" pitchFamily="34" charset="-79"/>
              <a:cs typeface="David" panose="020E0502060401010101" pitchFamily="34" charset="-79"/>
            </a:rPr>
            <a:t>הצלחה</a:t>
          </a:r>
          <a:endParaRPr lang="en-US" sz="1100"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3</xdr:col>
      <xdr:colOff>220453</xdr:colOff>
      <xdr:row>34</xdr:row>
      <xdr:rowOff>177019</xdr:rowOff>
    </xdr:from>
    <xdr:to>
      <xdr:col>3</xdr:col>
      <xdr:colOff>690366</xdr:colOff>
      <xdr:row>35</xdr:row>
      <xdr:rowOff>208900</xdr:rowOff>
    </xdr:to>
    <xdr:sp macro="" textlink="">
      <xdr:nvSpPr>
        <xdr:cNvPr id="79" name="Rounded Rectangle 78">
          <a:extLst>
            <a:ext uri="{FF2B5EF4-FFF2-40B4-BE49-F238E27FC236}">
              <a16:creationId xmlns:a16="http://schemas.microsoft.com/office/drawing/2014/main" id="{45C77F00-5974-23EF-FE51-B00FD4CC83D8}"/>
            </a:ext>
          </a:extLst>
        </xdr:cNvPr>
        <xdr:cNvSpPr/>
      </xdr:nvSpPr>
      <xdr:spPr>
        <a:xfrm>
          <a:off x="13502198841" y="7049396"/>
          <a:ext cx="469913" cy="24754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>
              <a:latin typeface="David" panose="020E0502060401010101" pitchFamily="34" charset="-79"/>
              <a:cs typeface="David" panose="020E0502060401010101" pitchFamily="34" charset="-79"/>
            </a:rPr>
            <a:t>0.3</a:t>
          </a:r>
          <a:endParaRPr lang="en-US" sz="1100"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4</xdr:col>
      <xdr:colOff>26737</xdr:colOff>
      <xdr:row>31</xdr:row>
      <xdr:rowOff>193072</xdr:rowOff>
    </xdr:from>
    <xdr:to>
      <xdr:col>4</xdr:col>
      <xdr:colOff>648066</xdr:colOff>
      <xdr:row>40</xdr:row>
      <xdr:rowOff>109754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1E6213D2-EF22-AF33-1D3C-ED58F18F2589}"/>
            </a:ext>
          </a:extLst>
        </xdr:cNvPr>
        <xdr:cNvCxnSpPr>
          <a:stCxn id="74" idx="3"/>
        </xdr:cNvCxnSpPr>
      </xdr:nvCxnSpPr>
      <xdr:spPr>
        <a:xfrm flipH="1">
          <a:off x="13525322305" y="6553525"/>
          <a:ext cx="621329" cy="177203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65411</xdr:colOff>
      <xdr:row>33</xdr:row>
      <xdr:rowOff>191699</xdr:rowOff>
    </xdr:from>
    <xdr:to>
      <xdr:col>4</xdr:col>
      <xdr:colOff>656565</xdr:colOff>
      <xdr:row>35</xdr:row>
      <xdr:rowOff>47924</xdr:rowOff>
    </xdr:to>
    <xdr:sp macro="" textlink="">
      <xdr:nvSpPr>
        <xdr:cNvPr id="82" name="Rounded Rectangle 81">
          <a:extLst>
            <a:ext uri="{FF2B5EF4-FFF2-40B4-BE49-F238E27FC236}">
              <a16:creationId xmlns:a16="http://schemas.microsoft.com/office/drawing/2014/main" id="{E0FBC754-6162-AB3E-8C51-6EF6475D4E71}"/>
            </a:ext>
          </a:extLst>
        </xdr:cNvPr>
        <xdr:cNvSpPr/>
      </xdr:nvSpPr>
      <xdr:spPr>
        <a:xfrm>
          <a:off x="13501408340" y="6862793"/>
          <a:ext cx="591154" cy="27316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he-IL" sz="1100">
              <a:latin typeface="David" panose="020E0502060401010101" pitchFamily="34" charset="-79"/>
              <a:cs typeface="David" panose="020E0502060401010101" pitchFamily="34" charset="-79"/>
            </a:rPr>
            <a:t>כשלון</a:t>
          </a:r>
          <a:endParaRPr lang="en-US" sz="1100"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4</xdr:col>
      <xdr:colOff>33547</xdr:colOff>
      <xdr:row>35</xdr:row>
      <xdr:rowOff>57207</xdr:rowOff>
    </xdr:from>
    <xdr:to>
      <xdr:col>4</xdr:col>
      <xdr:colOff>503460</xdr:colOff>
      <xdr:row>36</xdr:row>
      <xdr:rowOff>89089</xdr:rowOff>
    </xdr:to>
    <xdr:sp macro="" textlink="">
      <xdr:nvSpPr>
        <xdr:cNvPr id="83" name="Rounded Rectangle 82">
          <a:extLst>
            <a:ext uri="{FF2B5EF4-FFF2-40B4-BE49-F238E27FC236}">
              <a16:creationId xmlns:a16="http://schemas.microsoft.com/office/drawing/2014/main" id="{2DEAE6FA-E02D-0AF6-DA99-A9E2C5B8394B}"/>
            </a:ext>
          </a:extLst>
        </xdr:cNvPr>
        <xdr:cNvSpPr/>
      </xdr:nvSpPr>
      <xdr:spPr>
        <a:xfrm>
          <a:off x="13501561445" y="7145245"/>
          <a:ext cx="469913" cy="24754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>
              <a:latin typeface="David" panose="020E0502060401010101" pitchFamily="34" charset="-79"/>
              <a:cs typeface="David" panose="020E0502060401010101" pitchFamily="34" charset="-79"/>
            </a:rPr>
            <a:t>0.7</a:t>
          </a:r>
          <a:endParaRPr lang="en-US" sz="1100"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5</xdr:col>
      <xdr:colOff>221253</xdr:colOff>
      <xdr:row>26</xdr:row>
      <xdr:rowOff>166944</xdr:rowOff>
    </xdr:from>
    <xdr:to>
      <xdr:col>5</xdr:col>
      <xdr:colOff>551132</xdr:colOff>
      <xdr:row>30</xdr:row>
      <xdr:rowOff>33547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C307CEB1-5DD4-A37A-75D5-670AFEA5422C}"/>
            </a:ext>
          </a:extLst>
        </xdr:cNvPr>
        <xdr:cNvCxnSpPr>
          <a:stCxn id="51" idx="2"/>
        </xdr:cNvCxnSpPr>
      </xdr:nvCxnSpPr>
      <xdr:spPr>
        <a:xfrm flipH="1">
          <a:off x="13500689472" y="5400302"/>
          <a:ext cx="329879" cy="7004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164577</xdr:colOff>
      <xdr:row>27</xdr:row>
      <xdr:rowOff>137997</xdr:rowOff>
    </xdr:from>
    <xdr:to>
      <xdr:col>6</xdr:col>
      <xdr:colOff>156791</xdr:colOff>
      <xdr:row>28</xdr:row>
      <xdr:rowOff>198601</xdr:rowOff>
    </xdr:to>
    <xdr:sp macro="" textlink="">
      <xdr:nvSpPr>
        <xdr:cNvPr id="87" name="Rounded Rectangle 86">
          <a:extLst>
            <a:ext uri="{FF2B5EF4-FFF2-40B4-BE49-F238E27FC236}">
              <a16:creationId xmlns:a16="http://schemas.microsoft.com/office/drawing/2014/main" id="{A31BC36F-74FF-90A2-1635-98D3882F6591}"/>
            </a:ext>
          </a:extLst>
        </xdr:cNvPr>
        <xdr:cNvSpPr/>
      </xdr:nvSpPr>
      <xdr:spPr>
        <a:xfrm>
          <a:off x="13524162057" y="5651783"/>
          <a:ext cx="817975" cy="27488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>
              <a:latin typeface="David" panose="020E0502060401010101" pitchFamily="34" charset="-79"/>
              <a:cs typeface="David" panose="020E0502060401010101" pitchFamily="34" charset="-79"/>
            </a:rPr>
            <a:t>לא לפתוח</a:t>
          </a:r>
          <a:endParaRPr lang="en-US" sz="1100"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0</xdr:col>
      <xdr:colOff>590576</xdr:colOff>
      <xdr:row>42</xdr:row>
      <xdr:rowOff>114979</xdr:rowOff>
    </xdr:from>
    <xdr:to>
      <xdr:col>0</xdr:col>
      <xdr:colOff>721235</xdr:colOff>
      <xdr:row>44</xdr:row>
      <xdr:rowOff>188149</xdr:rowOff>
    </xdr:to>
    <xdr:sp macro="" textlink="">
      <xdr:nvSpPr>
        <xdr:cNvPr id="89" name="Down Arrow 88">
          <a:extLst>
            <a:ext uri="{FF2B5EF4-FFF2-40B4-BE49-F238E27FC236}">
              <a16:creationId xmlns:a16="http://schemas.microsoft.com/office/drawing/2014/main" id="{FBADFA0C-E5F4-94D1-79C7-2AC7BBD27348}"/>
            </a:ext>
          </a:extLst>
        </xdr:cNvPr>
        <xdr:cNvSpPr/>
      </xdr:nvSpPr>
      <xdr:spPr>
        <a:xfrm>
          <a:off x="13528552181" y="8769794"/>
          <a:ext cx="130659" cy="50172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123479</xdr:colOff>
      <xdr:row>29</xdr:row>
      <xdr:rowOff>30649</xdr:rowOff>
    </xdr:from>
    <xdr:to>
      <xdr:col>0</xdr:col>
      <xdr:colOff>565447</xdr:colOff>
      <xdr:row>30</xdr:row>
      <xdr:rowOff>61868</xdr:rowOff>
    </xdr:to>
    <xdr:sp macro="" textlink="">
      <xdr:nvSpPr>
        <xdr:cNvPr id="90" name="Rounded Rectangle 89">
          <a:extLst>
            <a:ext uri="{FF2B5EF4-FFF2-40B4-BE49-F238E27FC236}">
              <a16:creationId xmlns:a16="http://schemas.microsoft.com/office/drawing/2014/main" id="{80707A28-FE38-F2C0-CBA0-526D67CC8893}"/>
            </a:ext>
          </a:extLst>
        </xdr:cNvPr>
        <xdr:cNvSpPr/>
      </xdr:nvSpPr>
      <xdr:spPr>
        <a:xfrm>
          <a:off x="13528707969" y="5962542"/>
          <a:ext cx="441968" cy="245499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>
              <a:solidFill>
                <a:schemeClr val="tx1"/>
              </a:solidFill>
              <a:latin typeface="David" panose="020E0502060401010101" pitchFamily="34" charset="-79"/>
              <a:cs typeface="David" panose="020E0502060401010101" pitchFamily="34" charset="-79"/>
            </a:rPr>
            <a:t>1.6</a:t>
          </a:r>
          <a:endParaRPr lang="en-US" sz="1100">
            <a:solidFill>
              <a:schemeClr val="tx1"/>
            </a:solidFill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1</xdr:col>
      <xdr:colOff>55537</xdr:colOff>
      <xdr:row>24</xdr:row>
      <xdr:rowOff>192666</xdr:rowOff>
    </xdr:from>
    <xdr:to>
      <xdr:col>1</xdr:col>
      <xdr:colOff>497505</xdr:colOff>
      <xdr:row>26</xdr:row>
      <xdr:rowOff>30511</xdr:rowOff>
    </xdr:to>
    <xdr:sp macro="" textlink="">
      <xdr:nvSpPr>
        <xdr:cNvPr id="91" name="Rounded Rectangle 90">
          <a:extLst>
            <a:ext uri="{FF2B5EF4-FFF2-40B4-BE49-F238E27FC236}">
              <a16:creationId xmlns:a16="http://schemas.microsoft.com/office/drawing/2014/main" id="{48807165-E2B6-E619-265B-1CC9DC266F09}"/>
            </a:ext>
          </a:extLst>
        </xdr:cNvPr>
        <xdr:cNvSpPr/>
      </xdr:nvSpPr>
      <xdr:spPr>
        <a:xfrm>
          <a:off x="13527950150" y="5084518"/>
          <a:ext cx="441968" cy="245499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>
              <a:solidFill>
                <a:schemeClr val="tx1"/>
              </a:solidFill>
              <a:latin typeface="David" panose="020E0502060401010101" pitchFamily="34" charset="-79"/>
              <a:cs typeface="David" panose="020E0502060401010101" pitchFamily="34" charset="-79"/>
            </a:rPr>
            <a:t>1.6</a:t>
          </a:r>
          <a:endParaRPr lang="en-US" sz="1100">
            <a:solidFill>
              <a:schemeClr val="tx1"/>
            </a:solidFill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3</xdr:col>
      <xdr:colOff>710782</xdr:colOff>
      <xdr:row>44</xdr:row>
      <xdr:rowOff>73169</xdr:rowOff>
    </xdr:from>
    <xdr:to>
      <xdr:col>4</xdr:col>
      <xdr:colOff>15680</xdr:colOff>
      <xdr:row>46</xdr:row>
      <xdr:rowOff>167243</xdr:rowOff>
    </xdr:to>
    <xdr:sp macro="" textlink="">
      <xdr:nvSpPr>
        <xdr:cNvPr id="92" name="Down Arrow 91">
          <a:extLst>
            <a:ext uri="{FF2B5EF4-FFF2-40B4-BE49-F238E27FC236}">
              <a16:creationId xmlns:a16="http://schemas.microsoft.com/office/drawing/2014/main" id="{5EBC146F-9F0E-93F5-D26E-6C1826D68C3F}"/>
            </a:ext>
          </a:extLst>
        </xdr:cNvPr>
        <xdr:cNvSpPr/>
      </xdr:nvSpPr>
      <xdr:spPr>
        <a:xfrm>
          <a:off x="13525954691" y="9156543"/>
          <a:ext cx="130659" cy="50172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135886</xdr:colOff>
      <xdr:row>30</xdr:row>
      <xdr:rowOff>156081</xdr:rowOff>
    </xdr:from>
    <xdr:to>
      <xdr:col>3</xdr:col>
      <xdr:colOff>622937</xdr:colOff>
      <xdr:row>31</xdr:row>
      <xdr:rowOff>187300</xdr:rowOff>
    </xdr:to>
    <xdr:sp macro="" textlink="">
      <xdr:nvSpPr>
        <xdr:cNvPr id="93" name="Rounded Rectangle 92">
          <a:extLst>
            <a:ext uri="{FF2B5EF4-FFF2-40B4-BE49-F238E27FC236}">
              <a16:creationId xmlns:a16="http://schemas.microsoft.com/office/drawing/2014/main" id="{CFE5D45A-B0FC-D73C-3E3E-250CB10B00CC}"/>
            </a:ext>
          </a:extLst>
        </xdr:cNvPr>
        <xdr:cNvSpPr/>
      </xdr:nvSpPr>
      <xdr:spPr>
        <a:xfrm>
          <a:off x="13526173195" y="6302254"/>
          <a:ext cx="487051" cy="245499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>
              <a:solidFill>
                <a:schemeClr val="tx1"/>
              </a:solidFill>
              <a:latin typeface="David" panose="020E0502060401010101" pitchFamily="34" charset="-79"/>
              <a:cs typeface="David" panose="020E0502060401010101" pitchFamily="34" charset="-79"/>
            </a:rPr>
            <a:t>0.32-</a:t>
          </a:r>
          <a:endParaRPr lang="en-US" sz="1100">
            <a:solidFill>
              <a:schemeClr val="tx1"/>
            </a:solidFill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5</xdr:col>
      <xdr:colOff>486050</xdr:colOff>
      <xdr:row>25</xdr:row>
      <xdr:rowOff>62007</xdr:rowOff>
    </xdr:from>
    <xdr:to>
      <xdr:col>6</xdr:col>
      <xdr:colOff>147340</xdr:colOff>
      <xdr:row>26</xdr:row>
      <xdr:rowOff>103679</xdr:rowOff>
    </xdr:to>
    <xdr:sp macro="" textlink="">
      <xdr:nvSpPr>
        <xdr:cNvPr id="94" name="Rounded Rectangle 93">
          <a:extLst>
            <a:ext uri="{FF2B5EF4-FFF2-40B4-BE49-F238E27FC236}">
              <a16:creationId xmlns:a16="http://schemas.microsoft.com/office/drawing/2014/main" id="{DB95822A-6687-4B85-4B21-191DE1AB62DA}"/>
            </a:ext>
          </a:extLst>
        </xdr:cNvPr>
        <xdr:cNvSpPr/>
      </xdr:nvSpPr>
      <xdr:spPr>
        <a:xfrm>
          <a:off x="13524171508" y="5157686"/>
          <a:ext cx="487051" cy="245499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>
              <a:solidFill>
                <a:schemeClr val="tx1"/>
              </a:solidFill>
              <a:latin typeface="David" panose="020E0502060401010101" pitchFamily="34" charset="-79"/>
              <a:cs typeface="David" panose="020E0502060401010101" pitchFamily="34" charset="-79"/>
            </a:rPr>
            <a:t>0.08-</a:t>
          </a:r>
          <a:endParaRPr lang="en-US" sz="1100">
            <a:solidFill>
              <a:schemeClr val="tx1"/>
            </a:solidFill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3</xdr:col>
      <xdr:colOff>170516</xdr:colOff>
      <xdr:row>17</xdr:row>
      <xdr:rowOff>203118</xdr:rowOff>
    </xdr:from>
    <xdr:to>
      <xdr:col>3</xdr:col>
      <xdr:colOff>612484</xdr:colOff>
      <xdr:row>19</xdr:row>
      <xdr:rowOff>40963</xdr:rowOff>
    </xdr:to>
    <xdr:sp macro="" textlink="">
      <xdr:nvSpPr>
        <xdr:cNvPr id="95" name="Rounded Rectangle 94">
          <a:extLst>
            <a:ext uri="{FF2B5EF4-FFF2-40B4-BE49-F238E27FC236}">
              <a16:creationId xmlns:a16="http://schemas.microsoft.com/office/drawing/2014/main" id="{A9A194DB-58E2-1EC2-D577-B20B07C03055}"/>
            </a:ext>
          </a:extLst>
        </xdr:cNvPr>
        <xdr:cNvSpPr/>
      </xdr:nvSpPr>
      <xdr:spPr>
        <a:xfrm>
          <a:off x="13526183648" y="3668180"/>
          <a:ext cx="441968" cy="245499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>
              <a:solidFill>
                <a:schemeClr val="tx1"/>
              </a:solidFill>
              <a:latin typeface="David" panose="020E0502060401010101" pitchFamily="34" charset="-79"/>
              <a:cs typeface="David" panose="020E0502060401010101" pitchFamily="34" charset="-79"/>
            </a:rPr>
            <a:t>0.76</a:t>
          </a:r>
          <a:endParaRPr lang="en-US" sz="1100">
            <a:solidFill>
              <a:schemeClr val="tx1"/>
            </a:solidFill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  <xdr:twoCellAnchor>
    <xdr:from>
      <xdr:col>2</xdr:col>
      <xdr:colOff>88848</xdr:colOff>
      <xdr:row>17</xdr:row>
      <xdr:rowOff>172469</xdr:rowOff>
    </xdr:from>
    <xdr:to>
      <xdr:col>2</xdr:col>
      <xdr:colOff>768272</xdr:colOff>
      <xdr:row>18</xdr:row>
      <xdr:rowOff>88848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C73FF037-A00D-93B3-529D-261410FE1C63}"/>
            </a:ext>
          </a:extLst>
        </xdr:cNvPr>
        <xdr:cNvCxnSpPr/>
      </xdr:nvCxnSpPr>
      <xdr:spPr>
        <a:xfrm flipV="1">
          <a:off x="13526853621" y="3637531"/>
          <a:ext cx="679424" cy="120206"/>
        </a:xfrm>
        <a:prstGeom prst="straightConnector1">
          <a:avLst/>
        </a:prstGeom>
        <a:ln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510228</xdr:colOff>
      <xdr:row>13</xdr:row>
      <xdr:rowOff>140402</xdr:rowOff>
    </xdr:from>
    <xdr:to>
      <xdr:col>6</xdr:col>
      <xdr:colOff>126435</xdr:colOff>
      <xdr:row>14</xdr:row>
      <xdr:rowOff>182074</xdr:rowOff>
    </xdr:to>
    <xdr:sp macro="" textlink="">
      <xdr:nvSpPr>
        <xdr:cNvPr id="98" name="Rounded Rectangle 97">
          <a:extLst>
            <a:ext uri="{FF2B5EF4-FFF2-40B4-BE49-F238E27FC236}">
              <a16:creationId xmlns:a16="http://schemas.microsoft.com/office/drawing/2014/main" id="{3E4DCAB1-00C3-D848-3721-20A8FE76A95D}"/>
            </a:ext>
          </a:extLst>
        </xdr:cNvPr>
        <xdr:cNvSpPr/>
      </xdr:nvSpPr>
      <xdr:spPr>
        <a:xfrm>
          <a:off x="13524192413" y="2790155"/>
          <a:ext cx="441968" cy="245499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100">
              <a:solidFill>
                <a:schemeClr val="tx1"/>
              </a:solidFill>
              <a:latin typeface="David" panose="020E0502060401010101" pitchFamily="34" charset="-79"/>
              <a:cs typeface="David" panose="020E0502060401010101" pitchFamily="34" charset="-79"/>
            </a:rPr>
            <a:t>0.76</a:t>
          </a:r>
          <a:endParaRPr lang="en-US" sz="1100">
            <a:solidFill>
              <a:schemeClr val="tx1"/>
            </a:solidFill>
            <a:latin typeface="David" panose="020E0502060401010101" pitchFamily="34" charset="-79"/>
            <a:cs typeface="David" panose="020E0502060401010101" pitchFamily="34" charset="-79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86026-E0B4-014E-B110-7ACBDBC50232}">
  <dimension ref="A2:H65"/>
  <sheetViews>
    <sheetView showGridLines="0" rightToLeft="1" zoomScale="216" workbookViewId="0">
      <selection activeCell="A3" sqref="A3:H25"/>
    </sheetView>
  </sheetViews>
  <sheetFormatPr baseColWidth="10" defaultRowHeight="16" x14ac:dyDescent="0.2"/>
  <cols>
    <col min="1" max="16384" width="10.83203125" style="1"/>
  </cols>
  <sheetData>
    <row r="2" spans="1:8" ht="17" thickBot="1" x14ac:dyDescent="0.25"/>
    <row r="3" spans="1:8" x14ac:dyDescent="0.2">
      <c r="A3" s="28" t="s">
        <v>17</v>
      </c>
      <c r="D3" s="22" t="s">
        <v>15</v>
      </c>
      <c r="E3" s="23"/>
      <c r="F3" s="23"/>
      <c r="G3" s="24"/>
    </row>
    <row r="4" spans="1:8" ht="17" thickBot="1" x14ac:dyDescent="0.25">
      <c r="D4" s="25" t="s">
        <v>16</v>
      </c>
      <c r="E4" s="26"/>
      <c r="F4" s="26"/>
      <c r="G4" s="27"/>
    </row>
    <row r="13" spans="1:8" ht="17" thickBot="1" x14ac:dyDescent="0.25"/>
    <row r="14" spans="1:8" ht="17" thickBot="1" x14ac:dyDescent="0.25">
      <c r="B14" s="8" t="s">
        <v>12</v>
      </c>
      <c r="H14" s="8" t="s">
        <v>13</v>
      </c>
    </row>
    <row r="15" spans="1:8" x14ac:dyDescent="0.2">
      <c r="G15" s="1" t="s">
        <v>0</v>
      </c>
      <c r="H15" s="2">
        <v>0</v>
      </c>
    </row>
    <row r="16" spans="1:8" ht="17" thickBot="1" x14ac:dyDescent="0.25">
      <c r="G16" s="1" t="s">
        <v>1</v>
      </c>
      <c r="H16" s="2">
        <v>0</v>
      </c>
    </row>
    <row r="17" spans="1:8" ht="17" thickBot="1" x14ac:dyDescent="0.25">
      <c r="G17" s="1" t="s">
        <v>2</v>
      </c>
      <c r="H17" s="3">
        <v>0</v>
      </c>
    </row>
    <row r="20" spans="1:8" x14ac:dyDescent="0.2">
      <c r="G20" s="4" t="s">
        <v>5</v>
      </c>
      <c r="H20" s="4" t="s">
        <v>8</v>
      </c>
    </row>
    <row r="21" spans="1:8" x14ac:dyDescent="0.2">
      <c r="G21" s="4">
        <v>0</v>
      </c>
      <c r="H21" s="4">
        <v>1</v>
      </c>
    </row>
    <row r="22" spans="1:8" x14ac:dyDescent="0.2">
      <c r="G22" s="7"/>
      <c r="H22" s="7"/>
    </row>
    <row r="23" spans="1:8" x14ac:dyDescent="0.2">
      <c r="A23" s="1" t="s">
        <v>0</v>
      </c>
      <c r="B23" s="2">
        <v>1.5</v>
      </c>
      <c r="D23" s="1" t="s">
        <v>0</v>
      </c>
      <c r="E23" s="2">
        <v>0.2</v>
      </c>
      <c r="H23" s="6" t="s">
        <v>13</v>
      </c>
    </row>
    <row r="24" spans="1:8" ht="17" thickBot="1" x14ac:dyDescent="0.25">
      <c r="A24" s="1" t="s">
        <v>1</v>
      </c>
      <c r="B24" s="2">
        <v>-0.4</v>
      </c>
      <c r="D24" s="1" t="s">
        <v>1</v>
      </c>
      <c r="E24" s="2">
        <v>-0.4</v>
      </c>
    </row>
    <row r="25" spans="1:8" ht="17" thickBot="1" x14ac:dyDescent="0.25">
      <c r="A25" s="1" t="s">
        <v>2</v>
      </c>
      <c r="B25" s="3">
        <f>B23+B24</f>
        <v>1.1000000000000001</v>
      </c>
      <c r="D25" s="1" t="s">
        <v>3</v>
      </c>
      <c r="E25" s="3">
        <f>E23+E24</f>
        <v>-0.2</v>
      </c>
    </row>
    <row r="26" spans="1:8" x14ac:dyDescent="0.2">
      <c r="G26" s="10" t="s">
        <v>14</v>
      </c>
      <c r="H26" s="11"/>
    </row>
    <row r="27" spans="1:8" x14ac:dyDescent="0.2">
      <c r="G27" s="12"/>
      <c r="H27" s="13"/>
    </row>
    <row r="28" spans="1:8" x14ac:dyDescent="0.2">
      <c r="G28" s="12"/>
      <c r="H28" s="13"/>
    </row>
    <row r="29" spans="1:8" x14ac:dyDescent="0.2">
      <c r="B29" s="1" t="s">
        <v>4</v>
      </c>
      <c r="G29" s="12"/>
      <c r="H29" s="13"/>
    </row>
    <row r="30" spans="1:8" x14ac:dyDescent="0.2">
      <c r="B30" s="1" t="s">
        <v>7</v>
      </c>
      <c r="G30" s="12"/>
      <c r="H30" s="13"/>
    </row>
    <row r="31" spans="1:8" x14ac:dyDescent="0.2">
      <c r="B31" s="1" t="s">
        <v>6</v>
      </c>
      <c r="G31" s="12"/>
      <c r="H31" s="13"/>
    </row>
    <row r="32" spans="1:8" x14ac:dyDescent="0.2">
      <c r="G32" s="12"/>
      <c r="H32" s="13"/>
    </row>
    <row r="33" spans="1:8" x14ac:dyDescent="0.2">
      <c r="B33" s="4" t="s">
        <v>5</v>
      </c>
      <c r="C33" s="4" t="s">
        <v>8</v>
      </c>
      <c r="G33" s="12"/>
      <c r="H33" s="13"/>
    </row>
    <row r="34" spans="1:8" x14ac:dyDescent="0.2">
      <c r="B34" s="4">
        <v>1.1000000000000001</v>
      </c>
      <c r="C34" s="4">
        <v>0.6</v>
      </c>
      <c r="G34" s="12"/>
      <c r="H34" s="13"/>
    </row>
    <row r="35" spans="1:8" x14ac:dyDescent="0.2">
      <c r="B35" s="4">
        <v>-0.2</v>
      </c>
      <c r="C35" s="4">
        <v>0.4</v>
      </c>
      <c r="G35" s="12"/>
      <c r="H35" s="13"/>
    </row>
    <row r="36" spans="1:8" x14ac:dyDescent="0.2">
      <c r="G36" s="12"/>
      <c r="H36" s="13"/>
    </row>
    <row r="37" spans="1:8" ht="17" thickBot="1" x14ac:dyDescent="0.25">
      <c r="B37" s="1" t="s">
        <v>9</v>
      </c>
      <c r="G37" s="14"/>
      <c r="H37" s="15"/>
    </row>
    <row r="38" spans="1:8" x14ac:dyDescent="0.2">
      <c r="D38" s="1" t="s">
        <v>10</v>
      </c>
    </row>
    <row r="39" spans="1:8" x14ac:dyDescent="0.2">
      <c r="C39" s="5">
        <f>0.6*1.1+0.4*-0.2</f>
        <v>0.58000000000000007</v>
      </c>
      <c r="D39" s="1" t="s">
        <v>11</v>
      </c>
    </row>
    <row r="41" spans="1:8" x14ac:dyDescent="0.2">
      <c r="A41" s="28" t="s">
        <v>18</v>
      </c>
      <c r="D41" s="34" t="s">
        <v>33</v>
      </c>
      <c r="E41" s="34"/>
    </row>
    <row r="47" spans="1:8" x14ac:dyDescent="0.2">
      <c r="F47" s="30" t="s">
        <v>13</v>
      </c>
    </row>
    <row r="48" spans="1:8" x14ac:dyDescent="0.2">
      <c r="B48" s="29" t="s">
        <v>26</v>
      </c>
      <c r="E48" s="1" t="s">
        <v>19</v>
      </c>
      <c r="F48" s="2">
        <v>0</v>
      </c>
    </row>
    <row r="49" spans="1:7" ht="17" thickBot="1" x14ac:dyDescent="0.25">
      <c r="E49" s="1" t="s">
        <v>20</v>
      </c>
      <c r="F49" s="2">
        <v>0</v>
      </c>
    </row>
    <row r="50" spans="1:7" ht="17" thickBot="1" x14ac:dyDescent="0.25">
      <c r="E50" s="1" t="s">
        <v>22</v>
      </c>
      <c r="F50" s="3">
        <v>0</v>
      </c>
    </row>
    <row r="52" spans="1:7" x14ac:dyDescent="0.2">
      <c r="E52" s="4" t="s">
        <v>5</v>
      </c>
      <c r="F52" s="4" t="s">
        <v>8</v>
      </c>
    </row>
    <row r="53" spans="1:7" x14ac:dyDescent="0.2">
      <c r="E53" s="4">
        <v>0</v>
      </c>
      <c r="F53" s="4">
        <v>1</v>
      </c>
    </row>
    <row r="55" spans="1:7" x14ac:dyDescent="0.2">
      <c r="A55" s="1" t="s">
        <v>19</v>
      </c>
      <c r="B55" s="1">
        <v>2</v>
      </c>
      <c r="C55" s="1" t="s">
        <v>19</v>
      </c>
      <c r="D55" s="2">
        <v>0.3</v>
      </c>
      <c r="F55" s="6" t="s">
        <v>13</v>
      </c>
    </row>
    <row r="56" spans="1:7" ht="17" thickBot="1" x14ac:dyDescent="0.25">
      <c r="A56" s="1" t="s">
        <v>24</v>
      </c>
      <c r="B56" s="1">
        <v>-0.8</v>
      </c>
      <c r="C56" s="1" t="s">
        <v>20</v>
      </c>
      <c r="D56" s="2">
        <v>-0.8</v>
      </c>
    </row>
    <row r="57" spans="1:7" ht="17" thickBot="1" x14ac:dyDescent="0.25">
      <c r="A57" s="1" t="s">
        <v>21</v>
      </c>
      <c r="B57" s="35">
        <f>B55+B56</f>
        <v>1.2</v>
      </c>
      <c r="C57" s="1" t="s">
        <v>23</v>
      </c>
      <c r="D57" s="3">
        <f>D55+D56</f>
        <v>-0.5</v>
      </c>
    </row>
    <row r="59" spans="1:7" ht="17" thickBot="1" x14ac:dyDescent="0.25"/>
    <row r="60" spans="1:7" x14ac:dyDescent="0.2">
      <c r="B60" s="4" t="s">
        <v>5</v>
      </c>
      <c r="C60" s="4" t="s">
        <v>8</v>
      </c>
      <c r="E60" s="16" t="s">
        <v>27</v>
      </c>
      <c r="F60" s="17"/>
      <c r="G60" s="18"/>
    </row>
    <row r="61" spans="1:7" x14ac:dyDescent="0.2">
      <c r="B61" s="4">
        <v>1.2</v>
      </c>
      <c r="C61" s="4">
        <v>0.35</v>
      </c>
      <c r="E61" s="31" t="s">
        <v>28</v>
      </c>
      <c r="F61" s="32"/>
      <c r="G61" s="33"/>
    </row>
    <row r="62" spans="1:7" x14ac:dyDescent="0.2">
      <c r="B62" s="4">
        <v>-0.5</v>
      </c>
      <c r="C62" s="4">
        <v>0.65</v>
      </c>
      <c r="E62" s="31" t="s">
        <v>29</v>
      </c>
      <c r="F62" s="32"/>
      <c r="G62" s="33"/>
    </row>
    <row r="63" spans="1:7" x14ac:dyDescent="0.2">
      <c r="E63" s="31" t="s">
        <v>30</v>
      </c>
      <c r="F63" s="32"/>
      <c r="G63" s="33"/>
    </row>
    <row r="64" spans="1:7" x14ac:dyDescent="0.2">
      <c r="C64" s="1" t="s">
        <v>25</v>
      </c>
      <c r="E64" s="31" t="s">
        <v>31</v>
      </c>
      <c r="F64" s="32"/>
      <c r="G64" s="33"/>
    </row>
    <row r="65" spans="2:7" ht="17" thickBot="1" x14ac:dyDescent="0.25">
      <c r="B65" s="5">
        <f>0.35*1.2+0.65*-0.5</f>
        <v>9.4999999999999973E-2</v>
      </c>
      <c r="C65" s="1" t="s">
        <v>11</v>
      </c>
      <c r="E65" s="19" t="s">
        <v>32</v>
      </c>
      <c r="F65" s="20"/>
      <c r="G65" s="21"/>
    </row>
  </sheetData>
  <mergeCells count="2">
    <mergeCell ref="G26:H37"/>
    <mergeCell ref="D41:E4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A0587-0F5C-3D48-A988-0D2ADB2E96D1}">
  <dimension ref="A7:N51"/>
  <sheetViews>
    <sheetView showGridLines="0" rightToLeft="1" tabSelected="1" topLeftCell="A12" zoomScale="181" workbookViewId="0">
      <selection activeCell="H45" sqref="H45"/>
    </sheetView>
  </sheetViews>
  <sheetFormatPr baseColWidth="10" defaultRowHeight="16" x14ac:dyDescent="0.2"/>
  <cols>
    <col min="1" max="16384" width="10.83203125" style="1"/>
  </cols>
  <sheetData>
    <row r="7" spans="1:14" x14ac:dyDescent="0.2">
      <c r="A7" s="1" t="s">
        <v>34</v>
      </c>
    </row>
    <row r="8" spans="1:14" x14ac:dyDescent="0.2">
      <c r="A8" s="1" t="s">
        <v>35</v>
      </c>
    </row>
    <row r="9" spans="1:14" x14ac:dyDescent="0.2">
      <c r="A9" s="1" t="s">
        <v>36</v>
      </c>
    </row>
    <row r="10" spans="1:14" x14ac:dyDescent="0.2">
      <c r="A10" s="1" t="s">
        <v>37</v>
      </c>
    </row>
    <row r="11" spans="1:14" x14ac:dyDescent="0.2">
      <c r="A11" s="1" t="s">
        <v>38</v>
      </c>
    </row>
    <row r="16" spans="1:14" x14ac:dyDescent="0.2">
      <c r="N16" s="1" t="s">
        <v>56</v>
      </c>
    </row>
    <row r="17" spans="2:14" x14ac:dyDescent="0.2">
      <c r="B17" s="1" t="s">
        <v>54</v>
      </c>
      <c r="N17" s="1" t="s">
        <v>57</v>
      </c>
    </row>
    <row r="18" spans="2:14" x14ac:dyDescent="0.2">
      <c r="B18" s="1" t="s">
        <v>55</v>
      </c>
      <c r="N18" s="1" t="s">
        <v>59</v>
      </c>
    </row>
    <row r="19" spans="2:14" x14ac:dyDescent="0.2">
      <c r="B19" s="1">
        <f>0.8-0.04</f>
        <v>0.76</v>
      </c>
      <c r="N19" s="1" t="s">
        <v>58</v>
      </c>
    </row>
    <row r="20" spans="2:14" x14ac:dyDescent="0.2">
      <c r="N20" s="1" t="s">
        <v>60</v>
      </c>
    </row>
    <row r="21" spans="2:14" x14ac:dyDescent="0.2">
      <c r="N21" s="1" t="s">
        <v>61</v>
      </c>
    </row>
    <row r="23" spans="2:14" x14ac:dyDescent="0.2">
      <c r="N23" s="1" t="s">
        <v>62</v>
      </c>
    </row>
    <row r="24" spans="2:14" x14ac:dyDescent="0.2">
      <c r="N24" s="1" t="s">
        <v>63</v>
      </c>
    </row>
    <row r="26" spans="2:14" x14ac:dyDescent="0.2">
      <c r="K26" s="1" t="s">
        <v>0</v>
      </c>
      <c r="L26" s="1">
        <v>0</v>
      </c>
    </row>
    <row r="27" spans="2:14" ht="17" thickBot="1" x14ac:dyDescent="0.25">
      <c r="K27" s="1" t="s">
        <v>1</v>
      </c>
      <c r="L27" s="1">
        <v>0</v>
      </c>
    </row>
    <row r="28" spans="2:14" ht="17" thickBot="1" x14ac:dyDescent="0.25">
      <c r="K28" s="1" t="s">
        <v>2</v>
      </c>
      <c r="L28" s="35">
        <v>0</v>
      </c>
    </row>
    <row r="30" spans="2:14" ht="17" thickBot="1" x14ac:dyDescent="0.25"/>
    <row r="31" spans="2:14" ht="17" thickBot="1" x14ac:dyDescent="0.25">
      <c r="C31" s="35" t="s">
        <v>41</v>
      </c>
      <c r="F31" s="35" t="s">
        <v>41</v>
      </c>
    </row>
    <row r="32" spans="2:14" x14ac:dyDescent="0.2">
      <c r="C32" s="1" t="s">
        <v>42</v>
      </c>
      <c r="F32" s="1" t="s">
        <v>42</v>
      </c>
    </row>
    <row r="34" spans="1:11" x14ac:dyDescent="0.2">
      <c r="H34" s="1" t="s">
        <v>0</v>
      </c>
      <c r="I34" s="1">
        <v>3.2</v>
      </c>
      <c r="J34" s="1" t="s">
        <v>0</v>
      </c>
      <c r="K34" s="1">
        <v>0</v>
      </c>
    </row>
    <row r="35" spans="1:11" ht="17" thickBot="1" x14ac:dyDescent="0.25">
      <c r="H35" s="1" t="s">
        <v>1</v>
      </c>
      <c r="I35" s="1">
        <v>-1.2</v>
      </c>
      <c r="J35" s="1" t="s">
        <v>1</v>
      </c>
      <c r="K35" s="1">
        <v>-1.2</v>
      </c>
    </row>
    <row r="36" spans="1:11" ht="17" thickBot="1" x14ac:dyDescent="0.25">
      <c r="A36" s="1" t="s">
        <v>45</v>
      </c>
      <c r="H36" s="1" t="s">
        <v>21</v>
      </c>
      <c r="I36" s="35">
        <f>I34+I35</f>
        <v>2</v>
      </c>
      <c r="J36" s="1" t="s">
        <v>3</v>
      </c>
      <c r="K36" s="35">
        <f>K34+K35</f>
        <v>-1.2</v>
      </c>
    </row>
    <row r="37" spans="1:11" ht="17" thickBot="1" x14ac:dyDescent="0.25">
      <c r="A37" s="35">
        <f>D44</f>
        <v>1.92</v>
      </c>
    </row>
    <row r="38" spans="1:11" x14ac:dyDescent="0.2">
      <c r="H38" s="1" t="s">
        <v>39</v>
      </c>
    </row>
    <row r="39" spans="1:11" x14ac:dyDescent="0.2">
      <c r="H39" s="36">
        <f>0.6*2+0.4*(-1.2)</f>
        <v>0.72</v>
      </c>
      <c r="J39" s="1" t="s">
        <v>40</v>
      </c>
    </row>
    <row r="41" spans="1:11" ht="17" thickBot="1" x14ac:dyDescent="0.25">
      <c r="B41" s="1" t="s">
        <v>47</v>
      </c>
    </row>
    <row r="42" spans="1:11" ht="17" thickBot="1" x14ac:dyDescent="0.25">
      <c r="B42" s="35">
        <f>F44</f>
        <v>-1.28</v>
      </c>
      <c r="C42" s="1" t="s">
        <v>43</v>
      </c>
      <c r="D42" s="1">
        <v>2</v>
      </c>
      <c r="E42" s="1" t="s">
        <v>46</v>
      </c>
      <c r="F42" s="1">
        <v>-1.2</v>
      </c>
    </row>
    <row r="43" spans="1:11" ht="17" thickBot="1" x14ac:dyDescent="0.25">
      <c r="C43" s="1" t="s">
        <v>44</v>
      </c>
      <c r="D43" s="1">
        <v>-0.08</v>
      </c>
      <c r="E43" s="1" t="s">
        <v>44</v>
      </c>
      <c r="F43" s="1">
        <v>-0.08</v>
      </c>
    </row>
    <row r="44" spans="1:11" ht="17" thickBot="1" x14ac:dyDescent="0.25">
      <c r="C44" s="1" t="s">
        <v>45</v>
      </c>
      <c r="D44" s="35">
        <f>D42+D43</f>
        <v>1.92</v>
      </c>
      <c r="E44" s="1" t="s">
        <v>47</v>
      </c>
      <c r="F44" s="35">
        <f>F42+F43</f>
        <v>-1.28</v>
      </c>
    </row>
    <row r="46" spans="1:11" x14ac:dyDescent="0.2">
      <c r="A46" s="1" t="s">
        <v>48</v>
      </c>
    </row>
    <row r="47" spans="1:11" x14ac:dyDescent="0.2">
      <c r="A47" s="1" t="s">
        <v>49</v>
      </c>
    </row>
    <row r="48" spans="1:11" x14ac:dyDescent="0.2">
      <c r="A48" s="37">
        <f>0.9*1.92+0.1*(-1.28)</f>
        <v>1.6</v>
      </c>
      <c r="D48" s="1" t="s">
        <v>50</v>
      </c>
    </row>
    <row r="49" spans="1:5" x14ac:dyDescent="0.2">
      <c r="A49" s="1" t="s">
        <v>51</v>
      </c>
      <c r="D49" s="37">
        <f>0.3*1.92+0.7*(-1.28)</f>
        <v>-0.31999999999999995</v>
      </c>
    </row>
    <row r="50" spans="1:5" x14ac:dyDescent="0.2">
      <c r="A50" s="38" t="s">
        <v>52</v>
      </c>
      <c r="B50" s="38"/>
      <c r="D50" s="1" t="s">
        <v>51</v>
      </c>
    </row>
    <row r="51" spans="1:5" x14ac:dyDescent="0.2">
      <c r="D51" s="9" t="s">
        <v>53</v>
      </c>
      <c r="E51" s="9"/>
    </row>
  </sheetData>
  <mergeCells count="2">
    <mergeCell ref="A50:B50"/>
    <mergeCell ref="D51:E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פתרונות לדוגמא 3.1</vt:lpstr>
      <vt:lpstr>פתרונות לדוגמא 3.2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 Tsaban</dc:creator>
  <cp:lastModifiedBy>Shay Tsaban</cp:lastModifiedBy>
  <dcterms:created xsi:type="dcterms:W3CDTF">2026-08-18T14:59:07Z</dcterms:created>
  <dcterms:modified xsi:type="dcterms:W3CDTF">2026-08-18T16:46:41Z</dcterms:modified>
</cp:coreProperties>
</file>